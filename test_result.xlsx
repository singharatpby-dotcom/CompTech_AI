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E:\SMTCT2568\Big data\Context-main\Context_app\"/>
    </mc:Choice>
  </mc:AlternateContent>
  <xr:revisionPtr revIDLastSave="0" documentId="13_ncr:1_{FDC25909-2E5F-4E7A-8750-79F40C428E1E}" xr6:coauthVersionLast="47" xr6:coauthVersionMax="47" xr10:uidLastSave="{00000000-0000-0000-0000-000000000000}"/>
  <bookViews>
    <workbookView xWindow="-108" yWindow="-108" windowWidth="23256" windowHeight="12576" firstSheet="1" activeTab="1" xr2:uid="{00000000-000D-0000-FFFF-FFFF00000000}"/>
  </bookViews>
  <sheets>
    <sheet name="master" sheetId="8" state="hidden" r:id="rId1"/>
    <sheet name="context" sheetId="21" r:id="rId2"/>
    <sheet name="summary" sheetId="14" r:id="rId3"/>
    <sheet name="Table1" sheetId="15" state="hidden" r:id="rId4"/>
    <sheet name="Table3" sheetId="16" state="hidden" r:id="rId5"/>
    <sheet name="ชุดที่ 1" sheetId="9" r:id="rId6"/>
    <sheet name="ชุดที่ 2" sheetId="10" r:id="rId7"/>
    <sheet name="ชุดที่ 3" sheetId="11" r:id="rId8"/>
    <sheet name="Table6" sheetId="19" state="hidden" r:id="rId9"/>
    <sheet name="ชุดที่ 4" sheetId="12" r:id="rId10"/>
    <sheet name="Table8" sheetId="20" state="hidden" r:id="rId11"/>
    <sheet name="ชุดที่ 5" sheetId="13" r:id="rId12"/>
    <sheet name="category" sheetId="1" state="hidden" r:id="rId13"/>
    <sheet name="ผู้วิจัยคนที่ 1" sheetId="2" state="hidden" r:id="rId14"/>
    <sheet name="ผู้วิจัยคนที่ 2" sheetId="3" state="hidden" r:id="rId15"/>
    <sheet name="ผู้เชี่ยวชาญคนที่ 1" sheetId="4" state="hidden" r:id="rId16"/>
    <sheet name="ผู้เชี่ยวชาญคนที่ 2" sheetId="5" state="hidden" r:id="rId17"/>
    <sheet name="ผู้เชี่ยวชาญคนที่ 3" sheetId="6" state="hidden" r:id="rId18"/>
  </sheets>
  <definedNames>
    <definedName name="_xlnm._FilterDatabase" localSheetId="0" hidden="1">master!$G$1:$G$975</definedName>
    <definedName name="_xlnm._FilterDatabase" localSheetId="5" hidden="1">'ชุดที่ 1'!$A$1:$G$40</definedName>
    <definedName name="_xlnm._FilterDatabase" localSheetId="6" hidden="1">'ชุดที่ 2'!$A$1:$F$39</definedName>
    <definedName name="_xlnm._FilterDatabase" localSheetId="7" hidden="1">'ชุดที่ 3'!$A$1:$F$38</definedName>
    <definedName name="_xlnm._FilterDatabase" localSheetId="9" hidden="1">'ชุดที่ 4'!$A$1:$F$37</definedName>
    <definedName name="_xlnm._FilterDatabase" localSheetId="11" hidden="1">'ชุดที่ 5'!$A$1:$F$37</definedName>
    <definedName name="ExternalData_1" localSheetId="3" hidden="1">Table1!$A$1:$H$40</definedName>
    <definedName name="ExternalData_1" localSheetId="4" hidden="1">Table3!$A$1:$G$39</definedName>
    <definedName name="ExternalData_1" localSheetId="8" hidden="1">Table6!$A$1:$G$37</definedName>
    <definedName name="ExternalData_1" localSheetId="10" hidden="1">Table8!$A$1:$G$37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39" i="14" l="1"/>
  <c r="C38" i="14"/>
  <c r="C37" i="14"/>
  <c r="C36" i="14"/>
  <c r="H52" i="13"/>
  <c r="H49" i="13"/>
  <c r="G52" i="13"/>
  <c r="G49" i="13"/>
  <c r="H51" i="12"/>
  <c r="H48" i="12"/>
  <c r="G51" i="12"/>
  <c r="B22" i="14" s="1"/>
  <c r="B31" i="14" s="1"/>
  <c r="G48" i="12"/>
  <c r="H53" i="11"/>
  <c r="G53" i="11"/>
  <c r="H50" i="11"/>
  <c r="G50" i="11"/>
  <c r="G55" i="10"/>
  <c r="H52" i="10"/>
  <c r="H55" i="10"/>
  <c r="G52" i="10"/>
  <c r="H58" i="9"/>
  <c r="H55" i="9"/>
  <c r="G58" i="9"/>
  <c r="G55" i="9"/>
  <c r="H46" i="9"/>
  <c r="D49" i="20"/>
  <c r="C49" i="20"/>
  <c r="C56" i="15"/>
  <c r="H43" i="13"/>
  <c r="H40" i="13"/>
  <c r="G43" i="13"/>
  <c r="G40" i="13"/>
  <c r="H43" i="12"/>
  <c r="H40" i="12"/>
  <c r="G43" i="12"/>
  <c r="G40" i="12"/>
  <c r="H44" i="11"/>
  <c r="H41" i="11"/>
  <c r="G44" i="11"/>
  <c r="G41" i="11"/>
  <c r="H46" i="10"/>
  <c r="G46" i="10"/>
  <c r="H43" i="10"/>
  <c r="G43" i="10"/>
  <c r="G46" i="9"/>
  <c r="H49" i="9"/>
  <c r="G49" i="9"/>
  <c r="N16" i="2"/>
  <c r="H975" i="8"/>
  <c r="E39" i="9"/>
  <c r="E14" i="9"/>
  <c r="E35" i="9"/>
  <c r="E37" i="9"/>
  <c r="E29" i="9"/>
  <c r="E20" i="9"/>
  <c r="E32" i="9"/>
  <c r="E27" i="9"/>
  <c r="E2" i="9"/>
  <c r="E16" i="9"/>
  <c r="E9" i="9"/>
  <c r="E17" i="9"/>
  <c r="E6" i="9"/>
  <c r="E19" i="9"/>
  <c r="E18" i="9"/>
  <c r="E28" i="9"/>
  <c r="E4" i="9"/>
  <c r="E22" i="9"/>
  <c r="E31" i="9"/>
  <c r="E8" i="9"/>
  <c r="E25" i="9"/>
  <c r="E33" i="9"/>
  <c r="E13" i="9"/>
  <c r="E12" i="9"/>
  <c r="E40" i="9"/>
  <c r="E15" i="9"/>
  <c r="E11" i="9"/>
  <c r="E24" i="9"/>
  <c r="E10" i="9"/>
  <c r="E30" i="9"/>
  <c r="E23" i="9"/>
  <c r="E38" i="9"/>
  <c r="E7" i="9"/>
  <c r="E36" i="9"/>
  <c r="E3" i="9"/>
  <c r="E5" i="9"/>
  <c r="E21" i="9"/>
  <c r="E34" i="9"/>
  <c r="E26" i="9"/>
  <c r="J68" i="8"/>
  <c r="J29" i="8"/>
  <c r="J182" i="8"/>
  <c r="J134" i="8"/>
  <c r="J113" i="8"/>
  <c r="J61" i="8"/>
  <c r="J28" i="8"/>
  <c r="J181" i="8"/>
  <c r="J136" i="8"/>
  <c r="J106" i="8"/>
  <c r="J77" i="8"/>
  <c r="J24" i="8"/>
  <c r="J179" i="8"/>
  <c r="J138" i="8"/>
  <c r="J104" i="8"/>
  <c r="J75" i="8"/>
  <c r="J37" i="8"/>
  <c r="J184" i="8"/>
  <c r="J140" i="8"/>
  <c r="J99" i="8"/>
  <c r="J60" i="8"/>
  <c r="J40" i="8"/>
  <c r="J171" i="8"/>
  <c r="J147" i="8"/>
  <c r="J112" i="8"/>
  <c r="J69" i="8"/>
  <c r="J13" i="8"/>
  <c r="J163" i="8"/>
  <c r="J130" i="8"/>
  <c r="J92" i="8"/>
  <c r="J55" i="8"/>
  <c r="J17" i="8"/>
  <c r="J156" i="8"/>
  <c r="J116" i="8"/>
  <c r="J93" i="8"/>
  <c r="J57" i="8"/>
  <c r="J12" i="8"/>
  <c r="J168" i="8"/>
  <c r="J125" i="8"/>
  <c r="J88" i="8"/>
  <c r="J51" i="8"/>
  <c r="J11" i="8"/>
  <c r="J169" i="8"/>
  <c r="J123" i="8"/>
  <c r="J85" i="8"/>
  <c r="J48" i="8"/>
  <c r="J16" i="8"/>
  <c r="J164" i="8"/>
  <c r="J120" i="8"/>
  <c r="J95" i="8"/>
  <c r="J49" i="8"/>
  <c r="J4" i="8"/>
  <c r="J109" i="8"/>
  <c r="J71" i="8"/>
  <c r="J39" i="8"/>
  <c r="J177" i="8"/>
  <c r="J150" i="8"/>
  <c r="J100" i="8"/>
  <c r="J64" i="8"/>
  <c r="J38" i="8"/>
  <c r="J172" i="8"/>
  <c r="J143" i="8"/>
  <c r="J108" i="8"/>
  <c r="J73" i="8"/>
  <c r="J36" i="8"/>
  <c r="J178" i="8"/>
  <c r="J148" i="8"/>
  <c r="J98" i="8"/>
  <c r="J76" i="8"/>
  <c r="J26" i="8"/>
  <c r="J176" i="8"/>
  <c r="J146" i="8"/>
  <c r="J115" i="8"/>
  <c r="J65" i="8"/>
  <c r="J25" i="8"/>
  <c r="J187" i="8"/>
  <c r="J137" i="8"/>
  <c r="J114" i="8"/>
  <c r="J70" i="8"/>
  <c r="J34" i="8"/>
  <c r="J183" i="8"/>
  <c r="J142" i="8"/>
  <c r="J105" i="8"/>
  <c r="J67" i="8"/>
  <c r="J31" i="8"/>
  <c r="J185" i="8"/>
  <c r="J151" i="8"/>
  <c r="J97" i="8"/>
  <c r="J62" i="8"/>
  <c r="J33" i="8"/>
  <c r="J180" i="8"/>
  <c r="J135" i="8"/>
  <c r="J103" i="8"/>
  <c r="J53" i="8"/>
  <c r="J14" i="8"/>
  <c r="J161" i="8"/>
  <c r="J118" i="8"/>
  <c r="J81" i="8"/>
  <c r="J54" i="8"/>
  <c r="J22" i="8"/>
  <c r="J155" i="8"/>
  <c r="J131" i="8"/>
  <c r="J86" i="8"/>
  <c r="J56" i="8"/>
  <c r="J20" i="8"/>
  <c r="J158" i="8"/>
  <c r="J119" i="8"/>
  <c r="J83" i="8"/>
  <c r="J59" i="8"/>
  <c r="J6" i="8"/>
  <c r="J153" i="8"/>
  <c r="J122" i="8"/>
  <c r="J82" i="8"/>
  <c r="J45" i="8"/>
  <c r="J18" i="8"/>
  <c r="J162" i="8"/>
  <c r="J124" i="8"/>
  <c r="J91" i="8"/>
  <c r="J47" i="8"/>
  <c r="J19" i="8"/>
  <c r="J167" i="8"/>
  <c r="J121" i="8"/>
  <c r="J79" i="8"/>
  <c r="J46" i="8"/>
  <c r="J15" i="8"/>
  <c r="J157" i="8"/>
  <c r="J128" i="8"/>
  <c r="J90" i="8"/>
  <c r="J50" i="8"/>
  <c r="J9" i="8"/>
  <c r="J154" i="8"/>
  <c r="J129" i="8"/>
  <c r="J84" i="8"/>
  <c r="J41" i="8"/>
  <c r="J3" i="8"/>
  <c r="J23" i="8"/>
  <c r="J170" i="8"/>
  <c r="J141" i="8"/>
  <c r="J101" i="8"/>
  <c r="J66" i="8"/>
  <c r="J32" i="8"/>
  <c r="J175" i="8"/>
  <c r="J149" i="8"/>
  <c r="J102" i="8"/>
  <c r="J74" i="8"/>
  <c r="J30" i="8"/>
  <c r="J174" i="8"/>
  <c r="J144" i="8"/>
  <c r="J107" i="8"/>
  <c r="J63" i="8"/>
  <c r="J27" i="8"/>
  <c r="J186" i="8"/>
  <c r="J145" i="8"/>
  <c r="J110" i="8"/>
  <c r="J72" i="8"/>
  <c r="J35" i="8"/>
  <c r="J173" i="8"/>
  <c r="J139" i="8"/>
  <c r="J111" i="8"/>
  <c r="J78" i="8"/>
  <c r="J10" i="8"/>
  <c r="J159" i="8"/>
  <c r="J127" i="8"/>
  <c r="J80" i="8"/>
  <c r="J43" i="8"/>
  <c r="J8" i="8"/>
  <c r="J165" i="8"/>
  <c r="J117" i="8"/>
  <c r="J87" i="8"/>
  <c r="J52" i="8"/>
  <c r="J7" i="8"/>
  <c r="J166" i="8"/>
  <c r="J132" i="8"/>
  <c r="J94" i="8"/>
  <c r="J58" i="8"/>
  <c r="J21" i="8"/>
  <c r="J160" i="8"/>
  <c r="J133" i="8"/>
  <c r="J96" i="8"/>
  <c r="J44" i="8"/>
  <c r="J5" i="8"/>
  <c r="J152" i="8"/>
  <c r="J126" i="8"/>
  <c r="J89" i="8"/>
  <c r="J42" i="8"/>
  <c r="J2" i="8"/>
  <c r="K264" i="2"/>
  <c r="G75" i="2"/>
  <c r="G75" i="1"/>
  <c r="K137"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5" i="2"/>
  <c r="K194" i="2"/>
  <c r="K193" i="2"/>
  <c r="K192" i="2"/>
  <c r="K191" i="2"/>
  <c r="K190" i="2"/>
  <c r="K189" i="2"/>
  <c r="K188" i="2"/>
  <c r="K187" i="2"/>
  <c r="K186" i="2"/>
  <c r="K185" i="2"/>
  <c r="K184" i="2"/>
  <c r="K183" i="2"/>
  <c r="K182" i="2"/>
  <c r="K181" i="2"/>
  <c r="K180" i="2"/>
  <c r="K179" i="2"/>
  <c r="K177" i="2"/>
  <c r="K175" i="2"/>
  <c r="K173" i="2"/>
  <c r="K171" i="2"/>
  <c r="K168" i="2"/>
  <c r="K167" i="2"/>
  <c r="K166" i="2"/>
  <c r="K165" i="2"/>
  <c r="K164" i="2"/>
  <c r="K162" i="2"/>
  <c r="K161" i="2"/>
  <c r="K160" i="2"/>
  <c r="K159" i="2"/>
  <c r="K158" i="2"/>
  <c r="K157" i="2"/>
  <c r="K156" i="2"/>
  <c r="K155" i="2"/>
  <c r="K154" i="2"/>
  <c r="K153" i="2"/>
  <c r="K152" i="2"/>
  <c r="K150" i="2"/>
  <c r="K149" i="2"/>
  <c r="K148" i="2"/>
  <c r="K147" i="2"/>
  <c r="K145" i="2"/>
  <c r="K144" i="2"/>
  <c r="K143" i="2"/>
  <c r="K142" i="2"/>
  <c r="K140" i="2"/>
  <c r="K139" i="2"/>
  <c r="K138" i="2"/>
  <c r="K134" i="2"/>
  <c r="K133" i="2"/>
  <c r="K132" i="2"/>
  <c r="K129" i="2"/>
  <c r="K128" i="2"/>
  <c r="K127" i="2"/>
  <c r="K126" i="2"/>
  <c r="K125" i="2"/>
  <c r="K124" i="2"/>
  <c r="K123" i="2"/>
  <c r="K122" i="2"/>
  <c r="K121" i="2"/>
  <c r="K120" i="2"/>
  <c r="K119" i="2"/>
  <c r="K117" i="2"/>
  <c r="K114" i="2"/>
  <c r="K113" i="2"/>
  <c r="K112" i="2"/>
  <c r="K111" i="2"/>
  <c r="K110" i="2"/>
  <c r="K109" i="2"/>
  <c r="K107" i="2"/>
  <c r="K106" i="2"/>
  <c r="K105" i="2"/>
  <c r="K104" i="2"/>
  <c r="K101" i="2"/>
  <c r="K100" i="2"/>
  <c r="K99" i="2"/>
  <c r="K98" i="2"/>
  <c r="K97" i="2"/>
  <c r="K96" i="2"/>
  <c r="K93" i="2"/>
  <c r="K92" i="2"/>
  <c r="K90" i="2"/>
  <c r="K89" i="2"/>
  <c r="K88" i="2"/>
  <c r="K85" i="2"/>
  <c r="K84" i="2"/>
  <c r="K83" i="2"/>
  <c r="K82" i="2"/>
  <c r="K79" i="2"/>
  <c r="K80" i="2"/>
  <c r="K78" i="2"/>
  <c r="K69" i="2"/>
  <c r="K70" i="2"/>
  <c r="K71" i="2"/>
  <c r="K72" i="2"/>
  <c r="K73" i="2"/>
  <c r="K74" i="2"/>
  <c r="K68" i="2"/>
  <c r="K66" i="2"/>
  <c r="K65" i="2"/>
  <c r="K64" i="2"/>
  <c r="K63" i="2"/>
  <c r="K62" i="2"/>
  <c r="K60" i="2"/>
  <c r="K59" i="2"/>
  <c r="K58" i="2"/>
  <c r="K57" i="2"/>
  <c r="K56" i="2"/>
  <c r="K55" i="2"/>
  <c r="K54" i="2"/>
  <c r="K53" i="2"/>
  <c r="K52" i="2"/>
  <c r="K51" i="2"/>
  <c r="K50" i="2"/>
  <c r="K49" i="2"/>
  <c r="K48" i="2"/>
  <c r="K47" i="2"/>
  <c r="K45" i="2"/>
  <c r="K44" i="2"/>
  <c r="K43" i="2"/>
  <c r="K42" i="2"/>
  <c r="K41" i="2"/>
  <c r="K40" i="2"/>
  <c r="K39" i="2"/>
  <c r="K37" i="2"/>
  <c r="K36" i="2"/>
  <c r="K35" i="2"/>
  <c r="K34" i="2"/>
  <c r="K33" i="2"/>
  <c r="K32" i="2"/>
  <c r="K30" i="2"/>
  <c r="K29" i="2"/>
  <c r="K28" i="2"/>
  <c r="K27" i="2"/>
  <c r="K26" i="2"/>
  <c r="K25" i="2"/>
  <c r="K24" i="2"/>
  <c r="K22" i="2"/>
  <c r="K21" i="2"/>
  <c r="K20" i="2"/>
  <c r="K19" i="2"/>
  <c r="K18" i="2"/>
  <c r="K17" i="2"/>
  <c r="K14" i="2"/>
  <c r="K13" i="2"/>
  <c r="K12" i="2"/>
  <c r="K11" i="2"/>
  <c r="K10" i="2"/>
  <c r="K9" i="2"/>
  <c r="K8" i="2"/>
  <c r="K7" i="2"/>
  <c r="K4" i="2"/>
  <c r="K5" i="2"/>
  <c r="K3" i="2"/>
  <c r="J10" i="2"/>
  <c r="J7" i="2"/>
  <c r="J8" i="2"/>
  <c r="J9" i="2"/>
  <c r="J11" i="2"/>
  <c r="J12" i="2"/>
  <c r="J13" i="2"/>
  <c r="J14" i="2"/>
  <c r="J17" i="2"/>
  <c r="J18" i="2"/>
  <c r="J19" i="2"/>
  <c r="J20" i="2"/>
  <c r="J21" i="2"/>
  <c r="J22" i="2"/>
  <c r="J24" i="2"/>
  <c r="J25" i="2"/>
  <c r="J26" i="2"/>
  <c r="J27" i="2"/>
  <c r="J28" i="2"/>
  <c r="J29" i="2"/>
  <c r="J30" i="2"/>
  <c r="J32" i="2"/>
  <c r="J33" i="2"/>
  <c r="J34" i="2"/>
  <c r="J35" i="2"/>
  <c r="J36" i="2"/>
  <c r="J37" i="2"/>
  <c r="J39" i="2"/>
  <c r="J40" i="2"/>
  <c r="J41" i="2"/>
  <c r="J42" i="2"/>
  <c r="J43" i="2"/>
  <c r="J44" i="2"/>
  <c r="J45" i="2"/>
  <c r="J47" i="2"/>
  <c r="J48" i="2"/>
  <c r="J49" i="2"/>
  <c r="J50" i="2"/>
  <c r="J51" i="2"/>
  <c r="J52" i="2"/>
  <c r="J53" i="2"/>
  <c r="J54" i="2"/>
  <c r="J55" i="2"/>
  <c r="J56" i="2"/>
  <c r="J57" i="2"/>
  <c r="J58" i="2"/>
  <c r="J59" i="2"/>
  <c r="J60" i="2"/>
  <c r="J62" i="2"/>
  <c r="J63" i="2"/>
  <c r="J64" i="2"/>
  <c r="J65" i="2"/>
  <c r="J66" i="2"/>
  <c r="J68" i="2"/>
  <c r="J69" i="2"/>
  <c r="J70" i="2"/>
  <c r="J71" i="2"/>
  <c r="J72" i="2"/>
  <c r="J73" i="2"/>
  <c r="J74" i="2"/>
  <c r="J78" i="2"/>
  <c r="J79" i="2"/>
  <c r="J80" i="2"/>
  <c r="J82" i="2"/>
  <c r="J83" i="2"/>
  <c r="J84" i="2"/>
  <c r="J85" i="2"/>
  <c r="J88" i="2"/>
  <c r="J89" i="2"/>
  <c r="J90" i="2"/>
  <c r="J92" i="2"/>
  <c r="J93" i="2"/>
  <c r="J96" i="2"/>
  <c r="J97" i="2"/>
  <c r="J98" i="2"/>
  <c r="J99" i="2"/>
  <c r="J100" i="2"/>
  <c r="J101" i="2"/>
  <c r="J104" i="2"/>
  <c r="J105" i="2"/>
  <c r="J106" i="2"/>
  <c r="J107" i="2"/>
  <c r="J109" i="2"/>
  <c r="J110" i="2"/>
  <c r="J111" i="2"/>
  <c r="J112" i="2"/>
  <c r="J113" i="2"/>
  <c r="J114" i="2"/>
  <c r="J117" i="2"/>
  <c r="J119" i="2"/>
  <c r="J120" i="2"/>
  <c r="J121" i="2"/>
  <c r="J122" i="2"/>
  <c r="J123" i="2"/>
  <c r="J124" i="2"/>
  <c r="J125" i="2"/>
  <c r="J126" i="2"/>
  <c r="J127" i="2"/>
  <c r="J128" i="2"/>
  <c r="J129" i="2"/>
  <c r="J132" i="2"/>
  <c r="J133" i="2"/>
  <c r="J134" i="2"/>
  <c r="J137" i="2"/>
  <c r="J138" i="2"/>
  <c r="J139" i="2"/>
  <c r="J140" i="2"/>
  <c r="J142" i="2"/>
  <c r="J143" i="2"/>
  <c r="J144" i="2"/>
  <c r="J145" i="2"/>
  <c r="J147" i="2"/>
  <c r="J148" i="2"/>
  <c r="J149" i="2"/>
  <c r="J150" i="2"/>
  <c r="J152" i="2"/>
  <c r="J153" i="2"/>
  <c r="J154" i="2"/>
  <c r="J155" i="2"/>
  <c r="J156" i="2"/>
  <c r="J157" i="2"/>
  <c r="J158" i="2"/>
  <c r="J159" i="2"/>
  <c r="J160" i="2"/>
  <c r="J161" i="2"/>
  <c r="J162" i="2"/>
  <c r="J164" i="2"/>
  <c r="J165" i="2"/>
  <c r="J166" i="2"/>
  <c r="J167" i="2"/>
  <c r="J168" i="2"/>
  <c r="J171" i="2"/>
  <c r="J173" i="2"/>
  <c r="J175" i="2"/>
  <c r="J177" i="2"/>
  <c r="J179" i="2"/>
  <c r="J180" i="2"/>
  <c r="J181" i="2"/>
  <c r="J182" i="2"/>
  <c r="J183" i="2"/>
  <c r="J184" i="2"/>
  <c r="J185" i="2"/>
  <c r="J186" i="2"/>
  <c r="J187" i="2"/>
  <c r="J188" i="2"/>
  <c r="J189" i="2"/>
  <c r="J190" i="2"/>
  <c r="J191" i="2"/>
  <c r="J192" i="2"/>
  <c r="J193" i="2"/>
  <c r="J194" i="2"/>
  <c r="J195"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4" i="2"/>
  <c r="J3" i="2"/>
  <c r="J5" i="2"/>
  <c r="B19" i="14" l="1"/>
  <c r="B28" i="14" s="1"/>
  <c r="C19" i="14"/>
  <c r="C28" i="14" s="1"/>
  <c r="C22" i="14"/>
  <c r="C31" i="14" s="1"/>
  <c r="N18" i="2"/>
  <c r="O18" i="2" l="1"/>
  <c r="O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D05234-D43B-4835-88BD-B3D38FE51F5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5C925A2-E680-4D25-8041-329325AE2D2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4A57C7B0-B44F-4350-A155-698C052CCA23}" keepAlive="1" name="Query - Table5" description="Connection to the 'Table5' query in the workbook." type="5" refreshedVersion="0" background="1" saveData="1">
    <dbPr connection="Provider=Microsoft.Mashup.OleDb.1;Data Source=$Workbook$;Location=Table5;Extended Properties=&quot;&quot;" command="SELECT * FROM [Table5]"/>
  </connection>
  <connection id="4" xr16:uid="{49EE9DD9-9C6F-40D5-B65F-9D1CFE4DEAE0}" keepAlive="1" name="Query - Table5 (2)" description="Connection to the 'Table5 (2)' query in the workbook." type="5" refreshedVersion="0" background="1">
    <dbPr connection="Provider=Microsoft.Mashup.OleDb.1;Data Source=$Workbook$;Location=&quot;Table5 (2)&quot;;Extended Properties=&quot;&quot;" command="SELECT * FROM [Table5 (2)]"/>
  </connection>
  <connection id="5" xr16:uid="{32D75570-128A-4094-A08D-36CC247B3287}"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 id="6" xr16:uid="{3FDF8C1D-7AE9-42E4-B436-2D7C51216D1E}"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<sst xmlns="http://schemas.openxmlformats.org/spreadsheetml/2006/main" count="5969" uniqueCount="1557">
  <si>
    <t>Category</t>
  </si>
  <si>
    <t>User_query</t>
  </si>
  <si>
    <t xml:space="preserve">Chatbot_response </t>
  </si>
  <si>
    <t>ความรู้เกี่ยวกับคอมพิวเตอร์และสารสนเทศ</t>
  </si>
  <si>
    <t>หลักการทำงานของคอมพิวเตอร์</t>
  </si>
  <si>
    <t>หลักการทำงานของคอมพิวเตอร์คืออะไร</t>
  </si>
  <si>
    <t>1.1.1</t>
  </si>
  <si>
    <t>ความหมายของคอมพิวเตอร์</t>
  </si>
  <si>
    <t>คอมพิวเตอร์คืออะไร</t>
  </si>
  <si>
    <t>1.1.2</t>
  </si>
  <si>
    <t>หน่วยองค์ประกอบของระบบคอมพิวเตอร์</t>
  </si>
  <si>
    <t>ระบบคอมพิวเตอร์ประกอบด้วยหน่วยอะไรบ้าง</t>
  </si>
  <si>
    <t>การแบ่งประเภทของคอมพิวเตอร์</t>
  </si>
  <si>
    <t>1.2.1</t>
  </si>
  <si>
    <t>แบ่งตามลักษณะการใช้งาน</t>
  </si>
  <si>
    <t>คอมพิวเตอร์แบ่งตามการใช้งานได้อย่างไร</t>
  </si>
  <si>
    <t>1.2.1.1</t>
  </si>
  <si>
    <t>คอมพิวเตอร์ใช้งานทั่วไป</t>
  </si>
  <si>
    <t>คอมพิวเตอร์ใช้งานทั่วไปคืออะไร</t>
  </si>
  <si>
    <t>1.2.1.2</t>
  </si>
  <si>
    <t>คอมพิวเตอร์ใช้งานเฉพาะด้าน</t>
  </si>
  <si>
    <t>คอมพิวเตอร์ใช้งานเฉพาะด้านคืออะไร</t>
  </si>
  <si>
    <t>1.2.2</t>
  </si>
  <si>
    <t>แบ่งตามความสามารถในการเก็บข้อมูลและความเร็วในการประมวลผล</t>
  </si>
  <si>
    <t>คอมพิวเตอร์แบ่งตามความสามารถในการเก็บข้อมูลและความเร็วได้อย่างไร</t>
  </si>
  <si>
    <t>1.2.2.1</t>
  </si>
  <si>
    <t>ซุปเปอร์คอมพิวเตอร์</t>
  </si>
  <si>
    <t>ซุปเปอร์คอมพิวเตอร์คืออะไร</t>
  </si>
  <si>
    <t>1.2.2.2</t>
  </si>
  <si>
    <t>เมนเฟรมคอมพิวเตอร์</t>
  </si>
  <si>
    <t>เมนเฟรมคอมพิวเตอร์คืออะไร</t>
  </si>
  <si>
    <t>1.2.2.3</t>
  </si>
  <si>
    <t>มินิคอมพิวเตอร์</t>
  </si>
  <si>
    <t>มินิคอมพิวเตอร์คืออะไร</t>
  </si>
  <si>
    <t>1.2.2.4</t>
  </si>
  <si>
    <t>ไมโครคอมพิวเตอร์</t>
  </si>
  <si>
    <t>ไมโครคอมพิวเตอร์คืออะไร</t>
  </si>
  <si>
    <t>ปัจจัยในการใช้งานคอมพิวเตอร์</t>
  </si>
  <si>
    <t>1.3.1</t>
  </si>
  <si>
    <t>ฮาร์ดแวร์</t>
  </si>
  <si>
    <t>1.3.1.1</t>
  </si>
  <si>
    <t>ความหมายของฮาร์ดแวร์</t>
  </si>
  <si>
    <t>ฮาร์ดแวร์คืออะไร</t>
  </si>
  <si>
    <t>1.3.1.2</t>
  </si>
  <si>
    <t>อุปกรณ์ภายในตัวเครื่อง</t>
  </si>
  <si>
    <t>อุปกรณ์ภายในคอมพิวเตอร์มีอะไรบ้าง</t>
  </si>
  <si>
    <t>1.3.1.3</t>
  </si>
  <si>
    <t>อุปกรณ์อินพุต</t>
  </si>
  <si>
    <t>อุปกรณ์อินพุตคืออะไร</t>
  </si>
  <si>
    <t>1.3.1.4</t>
  </si>
  <si>
    <t>อุปกรณ์เอาท์พุต</t>
  </si>
  <si>
    <t>อุปกรณ์เอาท์พุตคืออะไร</t>
  </si>
  <si>
    <t>1.3.1.5</t>
  </si>
  <si>
    <t>อุปกรณ์บันทึกข้อมูล</t>
  </si>
  <si>
    <t>อุปกรณ์บันทึกข้อมูลคืออะไร</t>
  </si>
  <si>
    <t>1.3.1.6</t>
  </si>
  <si>
    <t>อุปกรณ์เสริมการใช้งาน</t>
  </si>
  <si>
    <t>อุปกรณ์เสริมการใช้งานมีอะไรบ้าง</t>
  </si>
  <si>
    <t>1.3.2</t>
  </si>
  <si>
    <t>ซอฟต์แวร์</t>
  </si>
  <si>
    <t>1.3.2.1</t>
  </si>
  <si>
    <t>ความหมายของซอฟต์แวร์</t>
  </si>
  <si>
    <t>ซอฟต์แวร์คืออะไร</t>
  </si>
  <si>
    <t>1.3.2.2</t>
  </si>
  <si>
    <t>ซอฟต์แวร์ระบบ</t>
  </si>
  <si>
    <t>ซอฟต์แวร์ระบบคืออะไร</t>
  </si>
  <si>
    <t>1.3.2.2.1</t>
  </si>
  <si>
    <t>ระบบปฏิบัติการ (OS)</t>
  </si>
  <si>
    <t>ระบบปฏิบัติการทำหน้าที่อะไร</t>
  </si>
  <si>
    <t>1.3.2.2.2</t>
  </si>
  <si>
    <t>โปรแกรมอรรถประโยชน์</t>
  </si>
  <si>
    <t>โปรแกรมอรรถประโยชน์คืออะไร</t>
  </si>
  <si>
    <t>1.3.2.3</t>
  </si>
  <si>
    <t>ซอฟต์แวร์ประยุกต์</t>
  </si>
  <si>
    <t>ซอฟต์แวร์ประยุกต์คืออะไร</t>
  </si>
  <si>
    <t>1.3.2.3.1</t>
  </si>
  <si>
    <t>ซอฟต์แวร์ประยุกต์ทั่วไป</t>
  </si>
  <si>
    <t>ซอฟต์แวร์ประยุกต์ทั่วไปมีอะไรบ้าง</t>
  </si>
  <si>
    <t>1.3.2.3.2</t>
  </si>
  <si>
    <t>ซอฟต์แวร์ประยุกต์เฉพาะงาน</t>
  </si>
  <si>
    <t>ซอฟต์แวร์ประยุกต์เฉพาะงานคืออะไร</t>
  </si>
  <si>
    <t>1.3.3</t>
  </si>
  <si>
    <t>พีเพิลแวร์</t>
  </si>
  <si>
    <t>1.3.3.1</t>
  </si>
  <si>
    <t>ความหมายของพีเพิลแวร์</t>
  </si>
  <si>
    <t>พีเพิลแวร์คืออะไร</t>
  </si>
  <si>
    <t>1.3.3.2</t>
  </si>
  <si>
    <t>นักวิเคราะห์ระบบ</t>
  </si>
  <si>
    <t>นักวิเคราะห์ระบบทำหน้าที่อะไร</t>
  </si>
  <si>
    <t>1.3.3.3</t>
  </si>
  <si>
    <t>โปรแกรมเมอร์</t>
  </si>
  <si>
    <t>โปรแกรมเมอร์คือใคร</t>
  </si>
  <si>
    <t>1.3.3.4</t>
  </si>
  <si>
    <t>ผู้ดูแลระบบ</t>
  </si>
  <si>
    <t>ผู้ดูแลระบบคือใคร</t>
  </si>
  <si>
    <t>1.3.3.5</t>
  </si>
  <si>
    <t>ช่างเทคนิคคอมพิวเตอร์</t>
  </si>
  <si>
    <t>ช่างเทคนิคคอมพิวเตอร์ทำหน้าที่อะไร</t>
  </si>
  <si>
    <t>1.3.3.6</t>
  </si>
  <si>
    <t>ผู้ใช้งานทั่วไป</t>
  </si>
  <si>
    <t>ผู้ใช้งานทั่วไปคือใคร</t>
  </si>
  <si>
    <t>ความรู้พื้นฐานในการใช้งานคอมพิวเตอร์</t>
  </si>
  <si>
    <t>1.4.1</t>
  </si>
  <si>
    <t>การติดตั้งและการบำรุงรักษาเครื่องคอมพิวเตอร์</t>
  </si>
  <si>
    <t>ทำไมการบำรุงรักษาคอมพิวเตอร์จึงสำคัญ</t>
  </si>
  <si>
    <t>1.4.1.1</t>
  </si>
  <si>
    <t>การติดตั้งเครื่องคอมพิวเตอร์</t>
  </si>
  <si>
    <t>ขั้นตอนการติดตั้งเครื่องคอมพิวเตอร์ทำอย่างไร</t>
  </si>
  <si>
    <t>1.4.1.2</t>
  </si>
  <si>
    <t>การใช้งานและการบำรุงรักษาเครื่อง</t>
  </si>
  <si>
    <t>การบำรุงรักษาเครื่องคอมพิวเตอร์ทำอย่างไร</t>
  </si>
  <si>
    <t>1.4.2</t>
  </si>
  <si>
    <t>การสร้างความปลอดภัยต่อสุขภาพในการใช้งานคอมพิวเตอร์</t>
  </si>
  <si>
    <t>จะป้องกันอาการปวดตาจากการใช้คอมพิวเตอร์ได้อย่างไร</t>
  </si>
  <si>
    <t>1.4.2.1</t>
  </si>
  <si>
    <t>ท่านั่งทำงานกับคอมพิวเตอร์</t>
  </si>
  <si>
    <t>ควรนั่งทำงานกับคอมพิวเตอร์อย่างไร</t>
  </si>
  <si>
    <t>1.4.2.2</t>
  </si>
  <si>
    <t>แสงสว่างในการใช้งานคอมพิวเตอร์</t>
  </si>
  <si>
    <t>แสงสว่างที่เหมาะสมในการใช้งานคอมพิวเตอร์เป็นอย่างไร</t>
  </si>
  <si>
    <t>1.4.2.3</t>
  </si>
  <si>
    <t>ความสว่างของจอมอนิเตอร์</t>
  </si>
  <si>
    <t>ควรปรับความสว่างของจอมอนิเตอร์อย่างไร</t>
  </si>
  <si>
    <t>อุปกรณ์ต่อพ่วง</t>
  </si>
  <si>
    <t>1.5.1</t>
  </si>
  <si>
    <t>เครื่องพิมพ์</t>
  </si>
  <si>
    <t>เครื่องพิมพ์คืออะไร</t>
  </si>
  <si>
    <t>1.5.1.1</t>
  </si>
  <si>
    <t>เครื่องพิมพ์ดอตเมตริกซ์</t>
  </si>
  <si>
    <t>เครื่องพิมพ์ดอตเมตริกซ์คืออะไร</t>
  </si>
  <si>
    <t>1.5.1.2</t>
  </si>
  <si>
    <t>เครื่องพิมพ์เลเซอร์</t>
  </si>
  <si>
    <t>เครื่องพิมพ์เลเซอร์ทำงานอย่างไร</t>
  </si>
  <si>
    <t>1.5.1.3</t>
  </si>
  <si>
    <t>เครื่องพิมพ์อิงก์เจ็ต</t>
  </si>
  <si>
    <t>เครื่องพิมพ์อิงก์เจ็ตคืออะไร</t>
  </si>
  <si>
    <t>1.5.2</t>
  </si>
  <si>
    <t>เครื่องสแกนภาพ</t>
  </si>
  <si>
    <t>เครื่องสแกนภาพคืออะไร</t>
  </si>
  <si>
    <t>1.5.2.1</t>
  </si>
  <si>
    <t>ลักษณะการทำงานของเครื่องสแกนภาพ</t>
  </si>
  <si>
    <t>เครื่องสแกนภาพทำงานอย่างไร</t>
  </si>
  <si>
    <t>1.5.3</t>
  </si>
  <si>
    <t>เครื่องอ่านบาร์โค้ด</t>
  </si>
  <si>
    <t>เครื่องอ่านบาร์โค้ดคืออะไร</t>
  </si>
  <si>
    <t>1.5.3.1</t>
  </si>
  <si>
    <t>ลักษณะการทำงานของเครื่องอ่านบาร์โค้ด</t>
  </si>
  <si>
    <t>เครื่องอ่านบาร์โค้ดทำงานอย่างไร</t>
  </si>
  <si>
    <t>1.5.4</t>
  </si>
  <si>
    <t>ไมโครโฟน</t>
  </si>
  <si>
    <t>ไมโครโฟนคืออะไร</t>
  </si>
  <si>
    <t>1.5.4.1</t>
  </si>
  <si>
    <t>ไมโครโฟนแบบไดนามิก</t>
  </si>
  <si>
    <t>ไมโครโฟนไดนามิกคืออะไร</t>
  </si>
  <si>
    <t>1.5.4.2</t>
  </si>
  <si>
    <t>ไมโครโฟนแบบคอนเด็นเซอร์</t>
  </si>
  <si>
    <t>ไมโครโฟนคอนเด็นเซอร์คืออะไร</t>
  </si>
  <si>
    <t>1.5.5</t>
  </si>
  <si>
    <t>กล้องดิจิทัล และเว็บแคม</t>
  </si>
  <si>
    <t>กล้องดิจิทัลคืออะไร
เว็บแคมคืออะไร</t>
  </si>
  <si>
    <t>1.5.5.1</t>
  </si>
  <si>
    <t>ลักษณะการทำงานของกล้องดิจิทัล</t>
  </si>
  <si>
    <t>กล้องดิจิทัลทำงานอย่างไร</t>
  </si>
  <si>
    <t>1.5.5.2</t>
  </si>
  <si>
    <t>ลักษณะการทำงานของกล้องเว็บแคม</t>
  </si>
  <si>
    <t>กล้องเว็บแคมทำงานอย่างไร</t>
  </si>
  <si>
    <t>อุปกรณ์เคลื่อนที่</t>
  </si>
  <si>
    <t>1.6.1</t>
  </si>
  <si>
    <t>ระบบปฏิบัติการในอุปกรณ์เคลื่อนที่</t>
  </si>
  <si>
    <t>1.6.1.1</t>
  </si>
  <si>
    <t>ระบบปฏิบัติการ ios</t>
  </si>
  <si>
    <t>ระบบปฏิบัติการ iOS คืออะไร</t>
  </si>
  <si>
    <t>1.6.1.2</t>
  </si>
  <si>
    <t>ระบบปฏิบัติการ android</t>
  </si>
  <si>
    <t>ระบบปฏิบัติการ Android คืออะไร</t>
  </si>
  <si>
    <t>1.6.1.3</t>
  </si>
  <si>
    <t>แอปพลิเคชั่นบนระบบปฏิบัติการในอุปกรณ์เคลื่อนที่ ios</t>
  </si>
  <si>
    <t>แอปพลิเคชันบน iOS มีลักษณะอย่างไร</t>
  </si>
  <si>
    <t>1.6.1.4</t>
  </si>
  <si>
    <t>แอปพลิเคชั่นบนระบบปฏิบัติการในอุปกรณ์เคลื่อนที่ android</t>
  </si>
  <si>
    <t>แอปพลิเคชันบน Android มีลักษณะอย่างไร</t>
  </si>
  <si>
    <t>ข้อมูลและสารสนเทศ</t>
  </si>
  <si>
    <t>1.7.1</t>
  </si>
  <si>
    <t>ข้อมูล</t>
  </si>
  <si>
    <t>ข้อมูลคืออะไร</t>
  </si>
  <si>
    <t>1.7.1.1</t>
  </si>
  <si>
    <t>ชนิดของข้อมูล</t>
  </si>
  <si>
    <t>ข้อมูลมีชนิดอะไรบ้าง</t>
  </si>
  <si>
    <t>1.7.2</t>
  </si>
  <si>
    <t>สารสนเทศ</t>
  </si>
  <si>
    <t>สารสนเทศคืออะไร</t>
  </si>
  <si>
    <t>1.7.2.1</t>
  </si>
  <si>
    <t>กระบวนการของสารสนเทศ</t>
  </si>
  <si>
    <t>กระบวนการสร้างสารสนเทศคืออะไร</t>
  </si>
  <si>
    <t>1.7.3</t>
  </si>
  <si>
    <t>ส่วนประกอบของเทคโนโลยีสารสนเทศ</t>
  </si>
  <si>
    <t>ส่วนประกอบของเทคโนโลยีสารสนเทศมีอะไรบ้าง</t>
  </si>
  <si>
    <t>1.7.3.1</t>
  </si>
  <si>
    <t>เทคโนโลยีด้านคอมพิวเตอร์</t>
  </si>
  <si>
    <t>เทคโนโลยีด้านคอมพิวเตอร์คืออะไร</t>
  </si>
  <si>
    <t>1.7.3.2</t>
  </si>
  <si>
    <t>เทคโนโลยีด้านการสื่อสารและโทรคมนาคม</t>
  </si>
  <si>
    <t>เทคโนโลยีด้านการสื่อสารคืออะไร</t>
  </si>
  <si>
    <t>ระบบปฏิบัติการ</t>
  </si>
  <si>
    <t>ความรู้เกี่ยวกับระบบปฏิบัติการ</t>
  </si>
  <si>
    <t>2.1.1</t>
  </si>
  <si>
    <t>ความหมายของระบบปฏิบัติการ</t>
  </si>
  <si>
    <t>ระบบปฏิบัติการคืออะไร</t>
  </si>
  <si>
    <t>2.1.1.1</t>
  </si>
  <si>
    <t>ความหมายของซอฟต์แวร์ระบบ</t>
  </si>
  <si>
    <t>2.1.1.2</t>
  </si>
  <si>
    <t>ความหมายของซอฟต์แวร์ประยุกต์</t>
  </si>
  <si>
    <t>2.1.2</t>
  </si>
  <si>
    <t>ความสำคัญของระบบปฏิบัติการ</t>
  </si>
  <si>
    <t>2.1.2.1</t>
  </si>
  <si>
    <t>ความสำคัญส่วนเชื่อมต่อผู้ใช้งาน</t>
  </si>
  <si>
    <t>ระบบปฏิบัติการสำคัญต่อผู้ใช้อย่างไร</t>
  </si>
  <si>
    <t>2.1.2.2</t>
  </si>
  <si>
    <t>ความสำคัญต่อการติดตั้งซอฟต์แวร์ประยุกต์</t>
  </si>
  <si>
    <t>ทำไมระบบปฏิบัติการจึงสำคัญต่อการติดตั้งโปรแกรม</t>
  </si>
  <si>
    <t>2.1.2.3</t>
  </si>
  <si>
    <t>ความสำคัญต่อการจัดการไฟล์และโฟลเดอร์</t>
  </si>
  <si>
    <t>ระบบปฏิบัติการช่วยจัดการไฟล์อย่างไร</t>
  </si>
  <si>
    <t>2.1.2.4</t>
  </si>
  <si>
    <t>ความสำคัญต่อการจัดสรรทรัพยากรในระบบ</t>
  </si>
  <si>
    <t>ระบบปฏิบัติการจัดสรรทรัพยากรอย่างไร</t>
  </si>
  <si>
    <t>2.1.3</t>
  </si>
  <si>
    <t>ประเภทของระบบปฏิบัติการ</t>
  </si>
  <si>
    <t>2.1.3.1</t>
  </si>
  <si>
    <t>2.1.3.1.1</t>
  </si>
  <si>
    <t>ระบบปฏิบัติการบนเครื่องคอมพิวเตอร์ส่วนบุคคล</t>
  </si>
  <si>
    <t>ระบบปฏิบัติการบน PC มีอะไรบ้าง</t>
  </si>
  <si>
    <t>2.1.3.1.2</t>
  </si>
  <si>
    <t>ระบบปฏิบัติการบนเครื่องแม่ข่าย</t>
  </si>
  <si>
    <t>ระบบปฏิบัติการบนเครื่องแม่ข่ายคืออะไร</t>
  </si>
  <si>
    <t>2.1.3.1.3</t>
  </si>
  <si>
    <t>ระบบปฏิบัติการบนเครื่องแท็บเล็ตและสมาร์ทโฟน</t>
  </si>
  <si>
    <t>ระบบปฏิบัติการบนมือถือมีอะไรบ้าง</t>
  </si>
  <si>
    <t>2.1.3.2</t>
  </si>
  <si>
    <t>แบ่งตามการเสียค่าใช้จ่าย</t>
  </si>
  <si>
    <t>2.1.3.2.1</t>
  </si>
  <si>
    <t>ระบบปฏิบัติการแบบโอเพนซอร์ซ</t>
  </si>
  <si>
    <t>ระบบปฏิบัติการโอเพนซอร์ซคืออะไร</t>
  </si>
  <si>
    <t>2.1.3.2.2</t>
  </si>
  <si>
    <t>ระบบปฏิบัติการที่มีค่าลิขสิทธิ์</t>
  </si>
  <si>
    <t>ระบบปฏิบัติการที่มีค่าลิขสิทธิ์คืออะไร</t>
  </si>
  <si>
    <t>ระบบปฏิบัตการไมโครซอฟต์วินโดวส์</t>
  </si>
  <si>
    <t>2.2.1</t>
  </si>
  <si>
    <t>รุ่นการจัดจำหน่ายของวินโดวส์</t>
  </si>
  <si>
    <t>2.2.1.1</t>
  </si>
  <si>
    <t>Windows Home</t>
  </si>
  <si>
    <t>Windows Home คืออะไร</t>
  </si>
  <si>
    <t>2.2.1.2</t>
  </si>
  <si>
    <t>Windows Pro</t>
  </si>
  <si>
    <t>Windows Pro แตกต่างจาก Home อย่างไร</t>
  </si>
  <si>
    <t>2.2.2</t>
  </si>
  <si>
    <t>รูปแบบลิขสิทธิ์ของวินโดวส์</t>
  </si>
  <si>
    <t>2.2.2.1</t>
  </si>
  <si>
    <t>รูปแบบ OEM</t>
  </si>
  <si>
    <t>ลิขสิทธิ์ Windows แบบ OEM คืออะไร</t>
  </si>
  <si>
    <t>2.2.2.2</t>
  </si>
  <si>
    <t>รูปแบบ FPP</t>
  </si>
  <si>
    <t>2.2.2.3</t>
  </si>
  <si>
    <t>รูปแบบ VL</t>
  </si>
  <si>
    <t>ลิขสิทธิ์ Windows แบบ VL คืออะไร</t>
  </si>
  <si>
    <t>2.2.3</t>
  </si>
  <si>
    <t>ความต้องการทางฮาร์ดแวร์สำหรับวินโดวส์</t>
  </si>
  <si>
    <t>2.2.3.1</t>
  </si>
  <si>
    <t>ความต้องการทางฮาร์ดแวร์สำหรับวินโดวส์ 10</t>
  </si>
  <si>
    <t>2.2.3.1.1</t>
  </si>
  <si>
    <t>ซีพียูสำหรับวินโดวส์ 10</t>
  </si>
  <si>
    <t>Windows 10 ต้องใช้ CPU แบบไหน</t>
  </si>
  <si>
    <t>2.2.3.1.2</t>
  </si>
  <si>
    <t>ความถี่สำหรับวินโดวส์ 10</t>
  </si>
  <si>
    <t>ความถี่ CPU ที่รองรับ Windows 10 คือเท่าไร</t>
  </si>
  <si>
    <t>2.2.3.1.3</t>
  </si>
  <si>
    <t>หน่วยความจำสำหรับวินโดวส์ 10</t>
  </si>
  <si>
    <t>RAM ที่ Windows 10 ต้องการคือเท่าไร</t>
  </si>
  <si>
    <t>2.2.3.1.4</t>
  </si>
  <si>
    <t>พื้นที่ว่างในฮาร์ดดิสก์สำหรับวินโดวส์ 10</t>
  </si>
  <si>
    <t>Windows 10 ต้องใช้พื้นที่ว่างเท่าไร</t>
  </si>
  <si>
    <t>2.2.3.2</t>
  </si>
  <si>
    <t>ความต้องการทางฮาร์ดแวร์สำหรับวินโดวส์ 11</t>
  </si>
  <si>
    <t>2.2.3.2.1</t>
  </si>
  <si>
    <t>ซีพียูสำหรับวินโดวส์ 11</t>
  </si>
  <si>
    <t>Windows 11 ต้องใช้ CPU แบบไหน</t>
  </si>
  <si>
    <t>2.2.3.2.2</t>
  </si>
  <si>
    <t>ความถี่สำหรับวินโดวส์ 11</t>
  </si>
  <si>
    <t>ความถี่ CPU ที่รองรับ Windows 11 คือเท่าไร</t>
  </si>
  <si>
    <t>2.2.3.2.3</t>
  </si>
  <si>
    <t>แกนประมวลผลสำหรับวินโดวส์ 11</t>
  </si>
  <si>
    <t>Windows 11 ต้องการ CPU กี่คอร์</t>
  </si>
  <si>
    <t>2.2.3.2.4</t>
  </si>
  <si>
    <t>หน่วยความจำสำหรับวินโดวส์ 11</t>
  </si>
  <si>
    <t>RAM ที่ Windows 11 ต้องการคือเท่าไร</t>
  </si>
  <si>
    <t>2.2.3.2.5</t>
  </si>
  <si>
    <t>TPM สำหรับวินโดวส์ 11</t>
  </si>
  <si>
    <t>TPM ที่ Windows 11 ต้องการคืออะไร</t>
  </si>
  <si>
    <t>2.2.3.2.6</t>
  </si>
  <si>
    <t>ไบออสสำหรับวินโดวส์ 11</t>
  </si>
  <si>
    <t>BIOS ที่ Windows 11 ต้องการคือแบบไหน</t>
  </si>
  <si>
    <t>หน้าจอหลักของระบบปฏิบัติการวินโดวส์</t>
  </si>
  <si>
    <t>2.3.1</t>
  </si>
  <si>
    <t>ส่วนประกอบในหน้าจอหลัก</t>
  </si>
  <si>
    <t>2.3.1.1</t>
  </si>
  <si>
    <t>เดสก์ท็อป</t>
  </si>
  <si>
    <t>เดสก์ท็อปคืออะไร</t>
  </si>
  <si>
    <t>2.3.1.2</t>
  </si>
  <si>
    <t>ไอคอนหลักในหน้าจอหลัก</t>
  </si>
  <si>
    <t>2.3.1.2.1</t>
  </si>
  <si>
    <t>ไอคอนผู้ใช้งาน</t>
  </si>
  <si>
    <t>ไอคอนผู้ใช้งานคืออะไร</t>
  </si>
  <si>
    <t>2.3.1.2.2</t>
  </si>
  <si>
    <t>ไอคอนคอมพิวเตอร์</t>
  </si>
  <si>
    <t>ไอคอนคอมพิวเตอร์ทำหน้าที่อะไร</t>
  </si>
  <si>
    <t>2.3.1.2.3</t>
  </si>
  <si>
    <t>ไอคอนถังขยะ</t>
  </si>
  <si>
    <t>ไอคอนถังขยะคืออะไร</t>
  </si>
  <si>
    <t>2.3.1.3</t>
  </si>
  <si>
    <t>ปุ่มสตาร์ท</t>
  </si>
  <si>
    <t>ปุ่ม Start ทำหน้าที่อะไร</t>
  </si>
  <si>
    <t>2.3.1.4</t>
  </si>
  <si>
    <t>แถบโปรแกรมด่วน</t>
  </si>
  <si>
    <t>แถบโปรแกรมด่วนคืออะไร</t>
  </si>
  <si>
    <t>2.3.1.5</t>
  </si>
  <si>
    <t>แถบงาน</t>
  </si>
  <si>
    <t>แถบงานคืออะไร</t>
  </si>
  <si>
    <t>2.3.1.6</t>
  </si>
  <si>
    <t>แถบระบบ</t>
  </si>
  <si>
    <t>แถบระบบคืออะไร</t>
  </si>
  <si>
    <t>2.3.1.7</t>
  </si>
  <si>
    <t>ตัวชี้เม้าส์</t>
  </si>
  <si>
    <t>ตัวชี้เมาส์คืออะไร</t>
  </si>
  <si>
    <t>2.3.2</t>
  </si>
  <si>
    <t>การตรวจสอบรุ่นของระบบปฏิบัติการวินโดวส์ที่ใช้งาน</t>
  </si>
  <si>
    <t>จะตรวจสอบรุ่นของ Windows ที่ใช้งานได้อย่างไร</t>
  </si>
  <si>
    <t>2.3.2.1</t>
  </si>
  <si>
    <t>ขั้นตอนการตรวจสอบผ่านไอคอน This PC บน Desktop</t>
  </si>
  <si>
    <t>ขั้นตอนการตรวจสอบรุ่น Windows ผ่าน This PC ทำอย่างไร</t>
  </si>
  <si>
    <t>2.3.2.2</t>
  </si>
  <si>
    <t>รายละเอียดที่แสดง</t>
  </si>
  <si>
    <t>เมื่อเปิด Properties ของ This PC จะเห็นข้อมูลอะไรบ้าง</t>
  </si>
  <si>
    <t>การปรับแต่งหน้าจอ</t>
  </si>
  <si>
    <t>2.4.1</t>
  </si>
  <si>
    <t>2.4.1.1</t>
  </si>
  <si>
    <t>View</t>
  </si>
  <si>
    <t>เมนู View ใช้ทำอะไร</t>
  </si>
  <si>
    <t>2.4.1.2</t>
  </si>
  <si>
    <t>Sort by</t>
  </si>
  <si>
    <t>เมนู Sort by ใช้ทำอะไร</t>
  </si>
  <si>
    <t>2.4.1.3</t>
  </si>
  <si>
    <t>Display setting</t>
  </si>
  <si>
    <t>เมนู Display setting ใช้ทำอะไร</t>
  </si>
  <si>
    <t>2.4.1.4</t>
  </si>
  <si>
    <t>Personalize</t>
  </si>
  <si>
    <t>เมนู Personalize ใช้ทำอะไร</t>
  </si>
  <si>
    <t>2.4.2</t>
  </si>
  <si>
    <t>การจัดการไอคอนหน้าจอ</t>
  </si>
  <si>
    <t>2.4.2.1</t>
  </si>
  <si>
    <t>ใช้เมนู View</t>
  </si>
  <si>
    <t>2.4.2.1.1</t>
  </si>
  <si>
    <t>ปรับขนาดไอคอน</t>
  </si>
  <si>
    <t>จะปรับขนาดไอคอนบนหน้าจอได้อย่างไร</t>
  </si>
  <si>
    <t>2.4.2.1.2</t>
  </si>
  <si>
    <t>กำหนดการจัดเรียงไอคอน</t>
  </si>
  <si>
    <t>จะจัดเรียงไอคอนบนหน้าจอได้อย่างไร</t>
  </si>
  <si>
    <t>2.4.2.1.3</t>
  </si>
  <si>
    <t>กำหนดการแสดงผลไอคอน</t>
  </si>
  <si>
    <t>จะเลือกแสดงหรือซ่อนไอคอนบนหน้าจอได้อย่างไร</t>
  </si>
  <si>
    <t>2.4.2.2</t>
  </si>
  <si>
    <t>ใช้เมนู Sort by</t>
  </si>
  <si>
    <t>2.4.2.2.1</t>
  </si>
  <si>
    <t>Name</t>
  </si>
  <si>
    <t>การจัดเรียงไฟล์ตาม Name คืออะไร</t>
  </si>
  <si>
    <t>2.4.2.2.2</t>
  </si>
  <si>
    <t>Size</t>
  </si>
  <si>
    <t>การจัดเรียงไฟล์ตาม Size คืออะไร</t>
  </si>
  <si>
    <t>2.4.2.2.3</t>
  </si>
  <si>
    <t>Item type</t>
  </si>
  <si>
    <t>การจัดเรียงไฟล์ตาม Item type คืออะไร</t>
  </si>
  <si>
    <t>2.4.2.2.4</t>
  </si>
  <si>
    <t>Date Modified</t>
  </si>
  <si>
    <t>การจัดเรียงไฟล์ตาม Date Modified คืออะไร</t>
  </si>
  <si>
    <t>2.4.3</t>
  </si>
  <si>
    <t>การปรับแต่งหน้าจอการแสดงผลด้วยเมนู Display setting</t>
  </si>
  <si>
    <t>2.4.3.1</t>
  </si>
  <si>
    <t>ปรับแต่งขนาดตัวอักษร</t>
  </si>
  <si>
    <t>จะปรับขนาดตัวอักษรบนหน้าจอได้อย่างไร</t>
  </si>
  <si>
    <t>2.4.3.2</t>
  </si>
  <si>
    <t>ปรับความละเอียดการแสดงผลบนจอภาพ</t>
  </si>
  <si>
    <t>จะปรับความละเอียดหน้าจอได้อย่างไร</t>
  </si>
  <si>
    <t>2.4.3.3</t>
  </si>
  <si>
    <t>ปรับการวางแนวของจอภาพ</t>
  </si>
  <si>
    <t>จะปรับการวางแนวจอภาพได้อย่างไร</t>
  </si>
  <si>
    <t>2.4.4</t>
  </si>
  <si>
    <t>การเปลี่ยนภาพพื้นหลังด้วยเมนู Personalize</t>
  </si>
  <si>
    <t>จะเปลี่ยนภาพพื้นหลังใน Windows ได้อย่างไร</t>
  </si>
  <si>
    <t>2.4.4.1</t>
  </si>
  <si>
    <t>Background</t>
  </si>
  <si>
    <t>2.4.4.1.1</t>
  </si>
  <si>
    <t>Picture</t>
  </si>
  <si>
    <t>จะเปลี่ยนภาพพื้นหลังเป็น Picture ได้อย่างไร</t>
  </si>
  <si>
    <t>2.4.4.1.2</t>
  </si>
  <si>
    <t>Solid Color</t>
  </si>
  <si>
    <t>จะเปลี่ยนภาพพื้นหลังเป็น Solid Color ได้อย่างไร</t>
  </si>
  <si>
    <t>2.4.4.1.3</t>
  </si>
  <si>
    <t>Slide Show</t>
  </si>
  <si>
    <t>จะเปลี่ยนภาพพื้นหลังเป็น Slide Show ได้อย่างไร</t>
  </si>
  <si>
    <t>2.4.4.2</t>
  </si>
  <si>
    <t>Colors</t>
  </si>
  <si>
    <t>จะปรับสีของหน้าจอ Windows ได้อย่างไร</t>
  </si>
  <si>
    <t>2.4.4.3</t>
  </si>
  <si>
    <t>Lock Screen</t>
  </si>
  <si>
    <t>จะเปลี่ยนภาพหน้าจอ Lock Screen ได้อย่างไร</t>
  </si>
  <si>
    <t>2.4.4.4</t>
  </si>
  <si>
    <t>Themes</t>
  </si>
  <si>
    <t>เมนู Themes ใช้ทำอะไร</t>
  </si>
  <si>
    <t>2.4.4.5</t>
  </si>
  <si>
    <t>Start</t>
  </si>
  <si>
    <t>จะปรับแต่งเมนู Start ได้อย่างไร</t>
  </si>
  <si>
    <t>2.4.4.6</t>
  </si>
  <si>
    <t>Taskbar</t>
  </si>
  <si>
    <t>จะปรับแต่ง Taskbar ได้อย่างไร</t>
  </si>
  <si>
    <t>2.4.5</t>
  </si>
  <si>
    <t>การใช้งานโปรแกรมถนอมจอภาพด้วยเมนู Lock screen</t>
  </si>
  <si>
    <t>วิธีเปิดใช้งานโปรแกรมถนอมจอภาพ (Screen Saver) ในเมนู Lock screen ทำอย่างไร?</t>
  </si>
  <si>
    <t>2.4.5.1</t>
  </si>
  <si>
    <t>ขั้นตอนการใช้งานโปรแกรมถนอมจอภาพ</t>
  </si>
  <si>
    <t>บอกขั้นตอนการใช้งาน Screen Saver</t>
  </si>
  <si>
    <t>2.4.6</t>
  </si>
  <si>
    <t>การเลือกและปรับแต่งรูปแบบการใช้งานด้วยเมนู Themes</t>
  </si>
  <si>
    <t>เมนู Themes ใช้ทำอะไรและปรับแต่งอะไรได้บ้าง?</t>
  </si>
  <si>
    <t>2.4.6.1</t>
  </si>
  <si>
    <t>ลักษณะการทำงานของการเลือกและปรับแต่งรูปแบบการใช้งานด้วยเมนู Theme</t>
  </si>
  <si>
    <t>2.4.6.1.1</t>
  </si>
  <si>
    <t>การปรับ Themes ของ Background</t>
  </si>
  <si>
    <t>การปรับ Themes ของ Background มีขั้นตอนอย่างไร?</t>
  </si>
  <si>
    <t>2.4.6.1.2</t>
  </si>
  <si>
    <t>การปรับ Themes ของ Color</t>
  </si>
  <si>
    <t>ถ้าต้องการเปลี่ยนสีเมนูหรือ Dark Mode (Themes ของ Color) ต้องทำยังไง?</t>
  </si>
  <si>
    <t>2.4.6.1.3</t>
  </si>
  <si>
    <t>การปรับ Themes ของ Sounds</t>
  </si>
  <si>
    <t>การปรับแต่งเสียง (Themes ของ Sounds) คืออะไร?</t>
  </si>
  <si>
    <t>2.4.6.1.4</t>
  </si>
  <si>
    <t>การปรับ Themes ของ Mouse cursor</t>
  </si>
  <si>
    <t>วิธีเปลี่ยนรูปแบบเมาส์ (Mouse cursor) ในเมนู Themes?</t>
  </si>
  <si>
    <t>2.4.6.1.5</t>
  </si>
  <si>
    <t xml:space="preserve">การกำหนด Desktop Icon Setting </t>
  </si>
  <si>
    <t>การตั้งค่า Desktop Icon Setting คืออะไรและตั้งค่าตรงไหน</t>
  </si>
  <si>
    <t>การปรับสภาพแวดล้อมทั่วไป</t>
  </si>
  <si>
    <t>2.5.1</t>
  </si>
  <si>
    <t>การปรับวันที่และเวลา</t>
  </si>
  <si>
    <t>2.5.1.1</t>
  </si>
  <si>
    <t>ขั้นตอนการปรับวันที่และเวลา</t>
  </si>
  <si>
    <t>ปรับวันที่และเวลาในคอมพิวเตอร์ยังไง?</t>
  </si>
  <si>
    <t>2.5.2</t>
  </si>
  <si>
    <t>การปรับความดังเสียง</t>
  </si>
  <si>
    <t>2.5.2.1</t>
  </si>
  <si>
    <t>ขั้นตอนการปรับความดังเสียง</t>
  </si>
  <si>
    <t>วิธีเพิ่มหรือลดระดับเสียงใน Windows</t>
  </si>
  <si>
    <t>2.5.3</t>
  </si>
  <si>
    <t>การสร้างชอร์ตคัต</t>
  </si>
  <si>
    <t>2.5.3.1</t>
  </si>
  <si>
    <t>ขั้นตอนการสร้างชอร์ตคัต</t>
  </si>
  <si>
    <t>วิธีสร้าง Shortcut บนหน้าจอ Desktop</t>
  </si>
  <si>
    <t>การเปิดโปรแกรมเพื่อใช้งาน</t>
  </si>
  <si>
    <t>2.6.1</t>
  </si>
  <si>
    <t>ขั้นตอนการเปิดโปรแกรมเพื่อใช้งาน</t>
  </si>
  <si>
    <t>จะเปิดใช้งานโปรแกรมต่างๆ ได้อย่างไร?</t>
  </si>
  <si>
    <t>การทำงานกับไดร์ฟ ไฟล์ และโฟลเดอร์</t>
  </si>
  <si>
    <t>2.7.1</t>
  </si>
  <si>
    <t>การแสดงข้อมูลในโฟลเดอร์ Document</t>
  </si>
  <si>
    <t>โฟลเดอร์ Document คืออะไร</t>
  </si>
  <si>
    <t>2.7.1.1</t>
  </si>
  <si>
    <t>ขั้นตอนการแสดงข้อมูลในโฟลเดอร์ Document</t>
  </si>
  <si>
    <t>เข้าไปดูไฟล์ในโฟลเดอร์ Document ตรงไหน?</t>
  </si>
  <si>
    <t>2.7.2</t>
  </si>
  <si>
    <t>การแสดงข้อมูลในไดรฟ์ต่าง ๆ</t>
  </si>
  <si>
    <t>การแสดงข้อมูลในไดรฟ์คืออะไร</t>
  </si>
  <si>
    <t>2.7.2.1</t>
  </si>
  <si>
    <t>ขั้นตอนการแสดงข้อมูลในไดรฟ์ต่าง ๆ</t>
  </si>
  <si>
    <t>วิธีดูข้อมูลในไดรฟ์ (Drive C, D) ของเครื่อง</t>
  </si>
  <si>
    <t>2.7.3</t>
  </si>
  <si>
    <t>การแสดงรายการไฟล์ในรูปแบบต่าง ๆ</t>
  </si>
  <si>
    <t>การแสดงรายการไฟล์มีรูปแบบอะไรบ้าง</t>
  </si>
  <si>
    <t>2.7.3.1</t>
  </si>
  <si>
    <t>ขั้นตอนการแสดงรายการไฟล์ในรูปแบบต่าง ๆ</t>
  </si>
  <si>
    <t>วิธีเปลี่ยนรูปแบบการแสดงผลไฟล์ (View)</t>
  </si>
  <si>
    <t>2.7.4</t>
  </si>
  <si>
    <t>การจัดการไฟล์และโฟลเดอร์</t>
  </si>
  <si>
    <t>ทำไมต้องจัดการไฟล์และโฟลเดอร์</t>
  </si>
  <si>
    <t>2.7.4.1</t>
  </si>
  <si>
    <t>ความหมายของไฟล์</t>
  </si>
  <si>
    <t>ไฟล์ (File) คืออะไร</t>
  </si>
  <si>
    <t>2.7.4.2</t>
  </si>
  <si>
    <t>ความหมายของโฟลเดอร์</t>
  </si>
  <si>
    <t>โฟลเดอร์ (Folder) คืออะไร?</t>
  </si>
  <si>
    <t>2.7.4.3</t>
  </si>
  <si>
    <t>ขั้นตอนการสร้างโฟลเดอร์</t>
  </si>
  <si>
    <t>ขอขั้นตอนการสร้างโฟลเดอร์ใหม่</t>
  </si>
  <si>
    <t>2.7.4.4</t>
  </si>
  <si>
    <t>ขั้นตอนการเปลี่ยนชื่อไฟล์และโฟลเดอร์</t>
  </si>
  <si>
    <t>วิธีเปลี่ยนชื่อ (Rename) ไฟล์หรือโฟลเดอร์</t>
  </si>
  <si>
    <t>2.7.4.5</t>
  </si>
  <si>
    <t>ขั้นตอนการเลือกไฟล์และโฟลเดอร์</t>
  </si>
  <si>
    <t>มีวิธีเลือกไฟล์หลายๆ ไฟล์พร้อมกันยังไงบ้าง?
วิธีเลือกไฟล์แบบเฉพาะเจาะจงบางไฟล์ทำยังไง?
อยากเลือกไฟล์จากลำดับที่ 1 ถึง 10 แบบเร็วๆ ทำไง</t>
  </si>
  <si>
    <t>2.7.4.6</t>
  </si>
  <si>
    <t>ขั้นตอนการคัดลอกไฟล์หรือโฟลเดอร์</t>
  </si>
  <si>
    <t>วิธีคัดลอก (Copy) ไฟล์หรือโฟลเดอร์</t>
  </si>
  <si>
    <t>2.7.4.6.1</t>
  </si>
  <si>
    <t>การคัดลอกไฟล์ที่มีชื่อเดียวกันอยู่ในไดรฟ์หรือโฟลเดอร์ปลายทาง</t>
  </si>
  <si>
    <t>วิธีการจัดการเมื่อ Copy ไฟล์แล้วชื่อเหมือนกันในโฟลเดอร์ปลายทาง</t>
  </si>
  <si>
    <t>2.7.4.7</t>
  </si>
  <si>
    <t>ขั้นตอนการย้ายไฟล์หรือโฟลเดอร์</t>
  </si>
  <si>
    <t>วิธีการย้าย (Move) ไฟล์ไปยังโฟลเดอร์อื่น</t>
  </si>
  <si>
    <t>2.7.4.8</t>
  </si>
  <si>
    <t>ขั้นตอนการลบไฟล์หรือโฟลเดอร์</t>
  </si>
  <si>
    <t>วิธีลบไฟล์ (Delete) ออกจากเครื่อง</t>
  </si>
  <si>
    <t>คลิกขวาที่ไฟล์แล้วเลือกไอคอนถังขยะ (Delete) ไฟล์จะไปอยู่ใน Recycle Bin ก่อนที่จะถูกลบถาวร</t>
  </si>
  <si>
    <t>2.7.4.9</t>
  </si>
  <si>
    <t>ขั้นตอนการค้นหาไฟล์</t>
  </si>
  <si>
    <t>การใช้งานอินเทอร์เน็ต</t>
  </si>
  <si>
    <t>ความรู้ทั่วไปเกี่ยวกับอินเทอร์เน็ต</t>
  </si>
  <si>
    <t>นเทอร์เน็ตถูกใช้งานในชีวิตประจำวันอย่างไร</t>
  </si>
  <si>
    <t>3.1.1</t>
  </si>
  <si>
    <t>ความหมายของอินเทอร์เน็ต</t>
  </si>
  <si>
    <t>อินเทอร์เน็ตคืออะไร</t>
  </si>
  <si>
    <t>3.1.2</t>
  </si>
  <si>
    <t>วิธีการในการติดต่อบนระบบบอินเทอร์เน็ต</t>
  </si>
  <si>
    <t>การติดต่อบนอินเทอร์เน็ตทำได้อย่างไร</t>
  </si>
  <si>
    <t>3.1.3</t>
  </si>
  <si>
    <t>โปรโตคอลที่เชื่อมต่ออยู่ในอินเทอร์เน็ต</t>
  </si>
  <si>
    <t>โปรโตคอลอินเทอร์เน็ตมีอะไรบ้าง</t>
  </si>
  <si>
    <t>3.1.4</t>
  </si>
  <si>
    <t>ความหมายของโดเมนเนม</t>
  </si>
  <si>
    <t>โดเมนเนมคืออะไร</t>
  </si>
  <si>
    <t>3.1.4.1</t>
  </si>
  <si>
    <t>โดเมนเนม 2 ระดับ</t>
  </si>
  <si>
    <t>โดเมนเนม 2 ระดับคืออะไร</t>
  </si>
  <si>
    <t>3.1.4.2</t>
  </si>
  <si>
    <t>โดเมนเนม 3 ระดับ</t>
  </si>
  <si>
    <t>โดเมนเนม 3 ระดับคืออะไร</t>
  </si>
  <si>
    <t>3.1.4.3</t>
  </si>
  <si>
    <t>โดเมนเนมที่ใช้กำหนดประเภทขององค์กร</t>
  </si>
  <si>
    <t>โดเมนเนมองค์กรคืออะไร</t>
  </si>
  <si>
    <t>3.1.4.4</t>
  </si>
  <si>
    <t>โดเมนเนมที่เป็นชื่อประเทศ</t>
  </si>
  <si>
    <t>โดเมนเนมประเทศคืออะไร</t>
  </si>
  <si>
    <t>3.1.4.5</t>
  </si>
  <si>
    <t>ขั้นตอนการจดทะเบียนเพื่อใช้งานโดเมนเนม</t>
  </si>
  <si>
    <t>จะจดทะเบียนโดเมนเนมได้อย่างไร</t>
  </si>
  <si>
    <t>3.1.5</t>
  </si>
  <si>
    <t>ลักษณะของการเชื่อมต่ออินเทอร์เน็ต</t>
  </si>
  <si>
    <t>ลักษณะของการเชื่อมต่ออินเทอร์เน็ตมีอะไรบ้าง</t>
  </si>
  <si>
    <t>3.1.5.1</t>
  </si>
  <si>
    <t>การเชื่อมต่อส่วนบุคคล</t>
  </si>
  <si>
    <t>การเชื่อมต่ออินเทอร์เน็ตส่วนบุคคลคืออะไร</t>
  </si>
  <si>
    <t>3.1.5.2</t>
  </si>
  <si>
    <t>การเชื่อมต่อแบบองค์กร</t>
  </si>
  <si>
    <t>การเชื่อมต่ออินเทอร์เน็ตแบบองค์กรคืออะไร</t>
  </si>
  <si>
    <t>3.1.6</t>
  </si>
  <si>
    <t>ความเร็วในการเชื่อมต่ออินเทอน์เน็ต</t>
  </si>
  <si>
    <t>ความเร็วในการเชื่อมต่ออินเทอร์เน็ตคืออะไร</t>
  </si>
  <si>
    <t>3.1.6.1</t>
  </si>
  <si>
    <t>ความเร็วดาวน์โหลด</t>
  </si>
  <si>
    <t>ความเร็วดาวน์โหลดคืออะไร</t>
  </si>
  <si>
    <t>3.1.6.2</t>
  </si>
  <si>
    <t>ความเร็วอัปโหลด</t>
  </si>
  <si>
    <t>ความเร็วอัปโหลดคืออะไร</t>
  </si>
  <si>
    <t>3.1.6.3</t>
  </si>
  <si>
    <t>การกำหนดความเร็วของผู้ให้บริการ</t>
  </si>
  <si>
    <t>ผู้ให้บริการกำหนดความเร็วอินเทอร์เน็ตอย่างไร</t>
  </si>
  <si>
    <t>3.1.6.4</t>
  </si>
  <si>
    <t>ลักษณะการให้บริการของอินเทอร์เน็ตบ้าน</t>
  </si>
  <si>
    <t>อินเทอร์เน็ตบ้านมีลักษณะอย่างไร</t>
  </si>
  <si>
    <t>3.1.6.5</t>
  </si>
  <si>
    <t>ลักษณะการให้บริการของอินเทอร์เน็ตองค์กร</t>
  </si>
  <si>
    <t>อินเทอร์เน็ตองค์กรมีลักษณะอย่างไร</t>
  </si>
  <si>
    <t>บริการคลาวด์ในอินเทอร์เน็ต</t>
  </si>
  <si>
    <t>บริการคลาวด์ในอินเทอร์เน็ตคืออะไร</t>
  </si>
  <si>
    <t>3.2.1</t>
  </si>
  <si>
    <t>ความแตกต่างของบริการอินเทอร์เน็ตในยุคเก่าและยุคปัจจบัน</t>
  </si>
  <si>
    <t>อินเทอร์เน็ตยุคเก่ากับยุคใหม่ต่างกันอย่างไร</t>
  </si>
  <si>
    <t>3.2.2</t>
  </si>
  <si>
    <t>ความหมายของการให้บริการคลาวด์ในอินเทอร์เน็ต</t>
  </si>
  <si>
    <t>คลาวด์คืออะไร</t>
  </si>
  <si>
    <t>3.2.3</t>
  </si>
  <si>
    <t>ลักษณะของการให้บริการคลาวด์ในอินเทอร์เน็ต</t>
  </si>
  <si>
    <t>การให้บริการคลาวด์มีลักษณะอย่างไร</t>
  </si>
  <si>
    <t>3.2.4</t>
  </si>
  <si>
    <t>ความสำคัญของการให้บริการคลาวด์ในอินเทอร์เน็ต</t>
  </si>
  <si>
    <t>คลาวด์สำคัญอย่างไร</t>
  </si>
  <si>
    <t>3.2.5</t>
  </si>
  <si>
    <t>ข้อดีของของการให้บริการคลาวด์ในอินเทอร์เน็ต</t>
  </si>
  <si>
    <t>คลาวด์มีข้อดีอะไรบ้าง</t>
  </si>
  <si>
    <t>3.2.6</t>
  </si>
  <si>
    <t>ข้อสังเกตุของของการให้บริการคลาวด์ในอินเทอร์เน็ต</t>
  </si>
  <si>
    <t>คลาวด์มีข้อสังเกตอะไรบ้าง</t>
  </si>
  <si>
    <t>3.2.7</t>
  </si>
  <si>
    <t>การจำแนกบริการคลาวด์คอมพิวติง</t>
  </si>
  <si>
    <t>การจำแนกบริการคลาวด์คอมพิวติงมีอะไรบ้าง</t>
  </si>
  <si>
    <t>3.2.7.1</t>
  </si>
  <si>
    <t>ความหมายของ Software as a Service (SaaS)</t>
  </si>
  <si>
    <t>SaaS คืออะไร</t>
  </si>
  <si>
    <t>3.2.7.2</t>
  </si>
  <si>
    <t>ความหมายของ Infrastructure as a Service (IaaS)</t>
  </si>
  <si>
    <t>IaaS คืออะไร</t>
  </si>
  <si>
    <t>3.2.7.3</t>
  </si>
  <si>
    <t>ความหมายของ Platform as a Service (PaaS)</t>
  </si>
  <si>
    <t>PaaS คืออะไร</t>
  </si>
  <si>
    <t>การค้นหาข้อมูลในอินเทอร์เน็ต</t>
  </si>
  <si>
    <t>จะค้นหาข้อมูลในอินเทอร์เน็ตได้อย่างไร</t>
  </si>
  <si>
    <t>3.3.1</t>
  </si>
  <si>
    <t>ลักษณะการค้นหาแบบ Search Engine</t>
  </si>
  <si>
    <t>Search Engine คืออะไร</t>
  </si>
  <si>
    <t>3.3.1.1</t>
  </si>
  <si>
    <t>ขัั้นตอนการค้นหาข้อมูลผ่านเว็บไซต์ (Search Engine) ด้วย google</t>
  </si>
  <si>
    <t>จะค้นหาข้อมูลด้วย Google ได้อย่างไร</t>
  </si>
  <si>
    <t>3.3.1.2</t>
  </si>
  <si>
    <t>เทคนิคการกำหนดรูปแบบการค้นหา</t>
  </si>
  <si>
    <t>เทคนิคการค้นหาข้อมูลคืออะไร</t>
  </si>
  <si>
    <t>3.3.2</t>
  </si>
  <si>
    <t>ลักษณะการค้นหาแบบ Search Directories</t>
  </si>
  <si>
    <t>Search Directories คืออะไร</t>
  </si>
  <si>
    <t>3.3.3</t>
  </si>
  <si>
    <t>ลักษณะการค้นหาแบบ Intelligent Search</t>
  </si>
  <si>
    <t>ลักษณะการค้นหาแบบ Intelligent Search คืออะไร</t>
  </si>
  <si>
    <t>3.3.3.1</t>
  </si>
  <si>
    <t>การค้นหาข้อมูลบนอุปกรณ์เคลื่อนที่</t>
  </si>
  <si>
    <t>จะค้นหาข้อมูลบนอุปกรณ์เคลื่อนที่ได้อย่างไร</t>
  </si>
  <si>
    <t>3.3.3.1.1</t>
  </si>
  <si>
    <t>ขั้้นตอนการค้นหาข้อมูลด้วยเสียง</t>
  </si>
  <si>
    <t>วิธีค้นหาข้อมูลด้วยเสียง (Voice Search) ทำอย่างไร?</t>
  </si>
  <si>
    <t>3.3.3.1.2</t>
  </si>
  <si>
    <t>ขั้นตอนการค้นหาข้อมูลด้วยภาพ</t>
  </si>
  <si>
    <t>ค้นหาข้อมูลด้วยรูปภาพหรือ Google Lens ทำยังไง?</t>
  </si>
  <si>
    <t>3.3.3.2</t>
  </si>
  <si>
    <t>การค้นหาข้อมูลด้วย AI</t>
  </si>
  <si>
    <t>การค้นหาข้อมูลด้วย AI คืออะไร</t>
  </si>
  <si>
    <t>ขั้นตอนการค้นหาข้อมูลด้วย AI ด้วย ChatGPT</t>
  </si>
  <si>
    <t>การค้นหาข้อมูลด้วย AI หรือ ChatGPT คืออะไร?</t>
  </si>
  <si>
    <t>การลงทะเบียนบัญชี google</t>
  </si>
  <si>
    <t>การลงทะเบียนบัญชี Google คืออะไร</t>
  </si>
  <si>
    <t>3.4.1</t>
  </si>
  <si>
    <t>ความสำคัญของการมีบัญชี google</t>
  </si>
  <si>
    <t>ทำไมต้องมีบัญชี Google (Google Account)?</t>
  </si>
  <si>
    <t>3.4.2</t>
  </si>
  <si>
    <t>ขั้นตอนการลงทะเบียนบัญชี google</t>
  </si>
  <si>
    <t>ขั้นตอนการสมัครบัญชี Google ทำอย่างไร?</t>
  </si>
  <si>
    <t>การใช้งานไปรษณีย์อิเล็กทรอนิกส์</t>
  </si>
  <si>
    <t>ไปรษณีย์อิเล็กทรอนิกส์คืออะไร</t>
  </si>
  <si>
    <t>3.5.1</t>
  </si>
  <si>
    <t>ความสำคัญของไปรษณีย์อิเล็กทรอนิกส์</t>
  </si>
  <si>
    <t>อีเมลสำคัญอย่างไร</t>
  </si>
  <si>
    <t>3.5.2</t>
  </si>
  <si>
    <t>ลักษณะการทำงานของ Gmail</t>
  </si>
  <si>
    <t>Gmail ทำงานอย่างไร</t>
  </si>
  <si>
    <t>Gmail เป็นบริการอีเมลบนคลาวด์ สามารถส่ง รับ และจัดเก็บจดหมายได้</t>
  </si>
  <si>
    <t>3.5.3</t>
  </si>
  <si>
    <t>ขั้นตอนการเข้าใช้ไปรษณีย์อิเล็กทรอนิกส์ Gmail</t>
  </si>
  <si>
    <t>จะเข้าใช้งาน Gmail ได้อย่างไร</t>
  </si>
  <si>
    <t>3.5.3.1</t>
  </si>
  <si>
    <t>เมนูของ Gmail</t>
  </si>
  <si>
    <t>เมนูหลักของ Gmail มีอะไรบ้าง?</t>
  </si>
  <si>
    <t>3.5.3.2</t>
  </si>
  <si>
    <t>ขั้นตอนการปรับแต่งให้แสดงเป็นภาษาไทย</t>
  </si>
  <si>
    <t>3.5.3.3</t>
  </si>
  <si>
    <t>ขั้นตอนการเขียนจดหมาย</t>
  </si>
  <si>
    <t>วิธีการเขียนและส่งอีเมล (Compose)</t>
  </si>
  <si>
    <t>3.5.3.4</t>
  </si>
  <si>
    <t>การออกจากระบบเมื่อเลิกใช้งาน</t>
  </si>
  <si>
    <t>การออกจากระบบ Gmail (Sign out) เมื่อเลิกใช้</t>
  </si>
  <si>
    <t>การใช้แอปพลิเคชั่นพื้นฐานบนอุปกรณ์เคลื่อนที่</t>
  </si>
  <si>
    <t>การใช้แอปพลิเคชันพื้นฐานบนมือถือมีอะไรบ้าง</t>
  </si>
  <si>
    <t>3.6.1</t>
  </si>
  <si>
    <t>แอปพลิเคชั่น Gmail</t>
  </si>
  <si>
    <t>แอปพลิเคชัน Gmail คืออะไร</t>
  </si>
  <si>
    <t>3.6.1.1</t>
  </si>
  <si>
    <t>ขั้นตอนการใช้งานแอปพลิเคชั่น Gmail บนอุปกรณ์เคลื่อนที่ระบบปฏิบัติการ android</t>
  </si>
  <si>
    <t>จะใช้งาน Gmail บนมือถือ Android ได้อย่างไร</t>
  </si>
  <si>
    <t>3.6.1.2</t>
  </si>
  <si>
    <t>ขั้นตอนการใช้งานแอปพลิเคชั่น Gmail บนอุปกรณ์เคลื่อนที่ระบบปฏิบัติการ ios</t>
  </si>
  <si>
    <t>จะใช้งาน Gmail บน iPhone/iPad ได้อย่างไร</t>
  </si>
  <si>
    <t>3.6.2</t>
  </si>
  <si>
    <t>แอปพลิเคชั่น Youtube</t>
  </si>
  <si>
    <t>แอปพลิเคชัน YouTube คืออะไร</t>
  </si>
  <si>
    <t>3.6.2.1</t>
  </si>
  <si>
    <t>ลักษณะการทำงานของ Youtube</t>
  </si>
  <si>
    <t>YouTube ทำงานอย่างไร</t>
  </si>
  <si>
    <t>3.6.2.2</t>
  </si>
  <si>
    <t>ขั้นตอนการใช้งานแอปพลิเคชั่น Youtube บนอุปกรณ์เคลื่อนที่ระบบปฏิบัติการ android</t>
  </si>
  <si>
    <t>จะใช้งาน YouTube บนมือถือ Android ได้อย่างไร</t>
  </si>
  <si>
    <t>3.6.2.3</t>
  </si>
  <si>
    <t>ขั้นตอนการใช้งานแอปพลิเคชั่น Youtube บนอุปกรณ์เคลื่อนที่ระบบปฏิบัติการ ios</t>
  </si>
  <si>
    <t>จะใช้งาน YouTube บน iPhone/iPad ได้อย่างไร</t>
  </si>
  <si>
    <t>3.6.3</t>
  </si>
  <si>
    <t>แอปพลิเคชั่น Google Calendar</t>
  </si>
  <si>
    <t>แอปพลิเคชัน Google Calendar คืออะไร</t>
  </si>
  <si>
    <t>3.6.3.1</t>
  </si>
  <si>
    <t>ลักษณะการทำงานของ Google Calendar</t>
  </si>
  <si>
    <t>Google Calendar ทำงานอย่างไร</t>
  </si>
  <si>
    <t>3.6.3.2</t>
  </si>
  <si>
    <t>ขั้นตอนการใช้งานแอปพลิเคชั่น Google Calendar บนอุปกรณ์เคลื่อนที่ระบบปฏิบัติการ android</t>
  </si>
  <si>
    <t>จะใช้งาน Google Calendar บนมือถือ Android ได้อย่างไร</t>
  </si>
  <si>
    <t>3.6.3.3</t>
  </si>
  <si>
    <t>ขั้นตอนการใช้งานแอปพลิเคชั่น Google Calendar บนอุปกรณ์เคลื่อนที่ระบบปฏิบัติการ ios</t>
  </si>
  <si>
    <t>จะใช้งาน Google Calendar บน iPhone/iPad ได้อย่างไร</t>
  </si>
  <si>
    <t>Correct_Answer</t>
  </si>
  <si>
    <t>เกณฑ์ในการประเมิน</t>
  </si>
  <si>
    <t>คำถามส่ง keyword ตรงในเนื้อหา chat ส่งคำตอบไม่ตรงตามเนื้อหา</t>
  </si>
  <si>
    <t>คำถามส่ง keyword ตรงในเนื้อหา chat ส่งคำตอบตรงตามเนื้อหา</t>
  </si>
  <si>
    <t>ส่ง keyword คลุมเคลือ chat ส่งคำตอบตรงตามเนื้อหาให้คะแนน</t>
  </si>
  <si>
    <t>ส่ง keyword คลุมเคลือ chat ส่งคำตอบไม่ตรงตามเนื้อหา</t>
  </si>
  <si>
    <t>คอมพิวเตอร์มีหลักการทำงาน</t>
  </si>
  <si>
    <t>คอมพิวเตอร์คืออะไรเหรอ</t>
  </si>
  <si>
    <t>ระบบคอมพิวเตอร์มันประกอบด้วยอะไรบ้างอะ</t>
  </si>
  <si>
    <t>คอมพิวเตอร์มีการแบ่งใช้งานไหม</t>
  </si>
  <si>
    <t>คอมพิวเตอร์ที่ใช้ทั่วไปนี่หมายถึงแบบไหน</t>
  </si>
  <si>
    <t>คอมพิวเตอร์ที่ใช้เฉพาะด้านนี่เอาไปทำงานอะไรบ้าง</t>
  </si>
  <si>
    <t>ซุปเปอร์คอมพิวเตอร์คืออะไร ใช้ทำอะไรได้บ้าง</t>
  </si>
  <si>
    <t>เมนเฟรมคอมพิวเตอร์นี่เอาไว้ใช้ทำงานแบบไหน</t>
  </si>
  <si>
    <t>มินิคอมพิวเตอร์ต่างจากเมนเฟรมยังไง</t>
  </si>
  <si>
    <t>ไมโครคอมพิวเตอร์นี่หมายถึงคอมแบบไหน</t>
  </si>
  <si>
    <t>ฮาร์ดแวร์คืออะไรเหรอ</t>
  </si>
  <si>
    <t>ในเครื่องคอมมีอุปกรณ์อะไรอยู่ข้างในบ้าง</t>
  </si>
  <si>
    <t>อุปกรณ์อินพุตมีอะไรบ้างอะ</t>
  </si>
  <si>
    <t>อุปกรณ์เอาท์พุตนี่หมายถึงอะไร</t>
  </si>
  <si>
    <t>อุปกรณ์ที่ใช้เก็บหรือบันทึกข้อมูลมีอะไรบ้าง</t>
  </si>
  <si>
    <t>มีอุปกรณ์เสริมอะไรที่ช่วยให้ใช้งานคอมสะดวกขึ้นบ้าง</t>
  </si>
  <si>
    <t>ซอฟต์แวร์คืออะไรเหรอ</t>
  </si>
  <si>
    <t>ซอฟต์แวร์ระบบนี่หมายถึงอะไร</t>
  </si>
  <si>
    <t>ระบบปฏิบัติการคืออะไรอะ</t>
  </si>
  <si>
    <t>โปรแกรมอรรถประโยชน์คือโปรแกรมแบบไหน</t>
  </si>
  <si>
    <t>ซอฟต์แวร์ประยุกต์เฉพาะงานคือโปรแกรมแบบไหน</t>
  </si>
  <si>
    <t>พีเพิลแวร์คืออะไรเหรอ</t>
  </si>
  <si>
    <t>นักวิเคราะห์ระบบเขาทำหน้าที่อะไรบ้างอะ</t>
  </si>
  <si>
    <t>โปรแกรมเมอร์คือคนที่ทำงานอะไร</t>
  </si>
  <si>
    <t>ผู้ดูแลระบบนี่ต้องทำงานเกี่ยวกับอะไร</t>
  </si>
  <si>
    <t>ช่างเทคนิคคอมพิวเตอร์เขาทำหน้าที่อะไร</t>
  </si>
  <si>
    <t>ผู้ใช้งานทั่วไปหมายถึงใครบ้าง"</t>
  </si>
  <si>
    <t>ถ้าจะติดตั้งเครื่องคอมใหม่ต้องทำยังไงบ้าง</t>
  </si>
  <si>
    <t>มีวิธีดูแลรักษาเครื่องคอมให้ใช้งานได้นาน ๆ ยังไงบ้าง</t>
  </si>
  <si>
    <t>เวลานั่งทำงานกับคอมควรนั่งท่าไหนถึงจะดีต่อสุขภาพ</t>
  </si>
  <si>
    <t>แสงสว่างที่เหมาะเวลาใช้คอมควรเป็นแบบไหน</t>
  </si>
  <si>
    <t>ความสว่างหน้าจอควรปรับประมาณไหนถึงจะไม่เสียสายตา</t>
  </si>
  <si>
    <t>เครื่องพิมพ์ดอตเมตริกซ์คืออะไร ใช้งานยังไง</t>
  </si>
  <si>
    <t>เครื่องพิมพ์เลเซอร์ทำงานยังไงเหรอ</t>
  </si>
  <si>
    <t>เครื่องพิมพ์อิงก์เจ็ตต่างจากเลเซอร์ยังไง</t>
  </si>
  <si>
    <t>เครื่องสแกนภาพมันทำงานยังไง</t>
  </si>
  <si>
    <t>เครื่องอ่านบาร์โค้ดอ่านข้อมูลได้ยังไง</t>
  </si>
  <si>
    <t>ไมโครโฟนแบบไดนามิกคือแบบไหน</t>
  </si>
  <si>
    <t>ไมโครโฟนคอนเด็นเซอร์ต่างจากไดนามิกยังไง</t>
  </si>
  <si>
    <t>กล้องดิจิทัลมันทำงานยังไง</t>
  </si>
  <si>
    <t>เว็บแคมทำงานยังไงเวลาใช้กับคอม</t>
  </si>
  <si>
    <t>iOS คืออะไร ใช้กับอุปกรณ์แบบไหน</t>
  </si>
  <si>
    <t>Android คืออะไร ต่างจาก iOS ยังไง</t>
  </si>
  <si>
    <t>แอปที่ใช้บน iOS มีอะไรบ้าง</t>
  </si>
  <si>
    <t>แอปที่ใช้บน Android มีอะไรบ้าง</t>
  </si>
  <si>
    <t>ข้อมูลมีชนิดอะไรบ้างเหรอ</t>
  </si>
  <si>
    <t>กระบวนการที่ทำให้ข้อมูลกลายเป็นสารสนเทศคืออะไร</t>
  </si>
  <si>
    <t>เทคโนโลยีด้านคอมพิวเตอร์มีอะไรบ้าง</t>
  </si>
  <si>
    <t>เทคโนโลยีด้านการสื่อสารกับโทรคมนาคมหมายถึงอะไร</t>
  </si>
  <si>
    <t>ระบบปฏิบัติการคืออะไรเหรอ</t>
  </si>
  <si>
    <t>ซอฟต์แวร์ระบบหมายถึงอะไร</t>
  </si>
  <si>
    <t>ทำไมระบบปฏิบัติการถึงสำคัญกับการเชื่อมต่อผู้ใช้กับคอม</t>
  </si>
  <si>
    <t>ระบบปฏิบัติการมีผลต่อการติดตั้งโปรแกรมยังไง</t>
  </si>
  <si>
    <t>ระบบปฏิบัติการช่วยจัดการไฟล์กับโฟลเดอร์ยังไง</t>
  </si>
  <si>
    <t>ระบบปฏิบัติการจัดสรรทรัพยากรในคอมยังไงบ้าง</t>
  </si>
  <si>
    <t>ระบบปฏิบัติการที่ใช้กับคอมส่วนบุคคลมีอะไรบ้าง</t>
  </si>
  <si>
    <t>ระบบปฏิบัติการบนเครื่องแม่ข่ายคือแบบไหน</t>
  </si>
  <si>
    <t>ระบบปฏิบัติการที่ใช้กับมือถือหรือแท็บเล็ตมีอะไรบ้าง</t>
  </si>
  <si>
    <t>ระบบปฏิบัติการแบบโอเพนซอร์ซหมายถึงอะไร</t>
  </si>
  <si>
    <t>ระบบปฏิบัติการที่ต้องซื้อมีอะไรบ้าง</t>
  </si>
  <si>
    <t>Windows Home ต่างจากรุ่นอื่นยังไง</t>
  </si>
  <si>
    <t>Windows Pro มีฟีเจอร์อะไรบ้าง</t>
  </si>
  <si>
    <t>ลิขสิทธิ์ Windows แบบ FPP หมายถึงอะไร</t>
  </si>
  <si>
    <t>ลิขสิทธิ์ Windows แบบ VL ใช้กับใคร</t>
  </si>
  <si>
    <t>วินโดวส์ 10 ต้องใช้ซีพียูแบบไหน</t>
  </si>
  <si>
    <t>ความถี่ซีพียูที่รองรับวินโดวส์ 10 ต้องเท่าไหร่</t>
  </si>
  <si>
    <t>วินโดวส์ 10 ต้องใช้แรมอย่างน้อยเท่าไหร่</t>
  </si>
  <si>
    <t>ฮาร์ดดิสก์ต้องมีพื้นที่ว่างเท่าไหร่ถึงลงวินโดวส์ 10 ได้</t>
  </si>
  <si>
    <t>วินโดวส์ 11 ต้องใช้ซีพียูแบบไหน</t>
  </si>
  <si>
    <t>ความถี่ซีพียูที่รองรับวินโดวส์ 11 ต้องเท่าไหร่</t>
  </si>
  <si>
    <t>วินโดวส์ 11 ต้องการซีพียูกี่คอร์</t>
  </si>
  <si>
    <t>วินโดวส์ 11 ต้องใช้ RAM อย่างน้อยเท่าไหร่</t>
  </si>
  <si>
    <t>TPM ที่วินโดวส์ 11 ต้องการคืออะไร</t>
  </si>
  <si>
    <t>BIOS แบบไหนที่รองรับวินโดวส์ 11</t>
  </si>
  <si>
    <t>เดสก์ท็อปในวินโดวส์คืออะไร</t>
  </si>
  <si>
    <t>ไอคอนผู้ใช้งานบนหน้าจอหลักใช้ทำอะไร</t>
  </si>
  <si>
    <t>ไอคอนคอมพิวเตอร์บนเดสก์ท็อปคืออะไร</t>
  </si>
  <si>
    <t>ไอคอนถังขยะในวินโดวส์ใช้ทำอะไร</t>
  </si>
  <si>
    <t>ปุ่ม Start ในวินโดวส์เอาไว้ทำอะไร</t>
  </si>
  <si>
    <t>แถบงานในวินโดวส์คืออะไร</t>
  </si>
  <si>
    <t>แถบระบบที่อยู่มุมขวาล่างหน้าจอคืออะไร</t>
  </si>
  <si>
    <t>ตัวชี้เม้าส์ในวินโดวส์ทำหน้าที่อะไร</t>
  </si>
  <si>
    <t>ถ้าอยากเช็กเวอร์ชันวินโดวส์ผ่าน This PC ต้องทำยังไง</t>
  </si>
  <si>
    <t>เวลาเช็กเวอร์ชันวินโดวส์มันแสดงรายละเอียดอะไรบ้าง</t>
  </si>
  <si>
    <t>เมนู Sort by ใช้จัดเรียงไฟล์ยังไง</t>
  </si>
  <si>
    <t>เมนู Display setting ใช้ปรับอะไรได้บ้าง</t>
  </si>
  <si>
    <t>จะจัดเรียงไอคอนบนหน้าจอทำยังไง</t>
  </si>
  <si>
    <t>การกำหนดการแสดงผลไอคอนคืออะไร</t>
  </si>
  <si>
    <t>การจัดเรียงไฟล์ตาม Name หมายถึงอะไร</t>
  </si>
  <si>
    <t>การจัดเรียงไฟล์ตาม Item type หมายถึงอะไร</t>
  </si>
  <si>
    <t>การจัดเรียงไฟล์ตาม Date Modified ใช้ดูอะไร</t>
  </si>
  <si>
    <t>จะปรับขนาดตัวอักษรในวินโดวส์ทำยังไง</t>
  </si>
  <si>
    <t>ถ้าอยากปรับความละเอียดหน้าจอทำยังไง</t>
  </si>
  <si>
    <t>จะหมุนหน้าจอแนวนอนหรือแนวตั้งทำยังไง</t>
  </si>
  <si>
    <t>ถ้าอยากเปลี่ยนพื้นหลังเป็นรูปภาพต้องทำยังไง</t>
  </si>
  <si>
    <t>พื้นหลังแบบ Solid Color คืออะไร</t>
  </si>
  <si>
    <t>พื้นหลังแบบ Slide Show ใช้งานยังไง</t>
  </si>
  <si>
    <t>เมนู Colors ใช้ปรับอะไร</t>
  </si>
  <si>
    <t>Lock Screen ในวินโดวส์คืออะไร</t>
  </si>
  <si>
    <t>Themes ในวินโดวส์คืออะไร</t>
  </si>
  <si>
    <t>เมนู Start ปรับแต่งอะไรได้บ้าง</t>
  </si>
  <si>
    <t>เมนู Taskbar ใช้ปรับอะไรได้บ้าง</t>
  </si>
  <si>
    <t>Themes ของ Background ปรับยังไง</t>
  </si>
  <si>
    <t>Themes ของ Sounds ใช้ทำอะไร</t>
  </si>
  <si>
    <t>Themes ของ Mouse cursor ปรับได้ยังไง</t>
  </si>
  <si>
    <t>Desktop Icon Setting ใช้กำหนดอะไร</t>
  </si>
  <si>
    <t>ถ้าอยากปรับวันที่กับเวลาในวินโดวส์ต้องทำยังไง"</t>
  </si>
  <si>
    <t>จะปรับเสียงคอมให้ดังหรือเบาลงทำยังไง</t>
  </si>
  <si>
    <t>ถ้าอยากสร้างชอร์ตคัตบนเดสก์ท็อปต้องทำยังไง</t>
  </si>
  <si>
    <t>เวลาอยากเปิดโปรแกรมในวินโดวส์ต้องทำยังไง</t>
  </si>
  <si>
    <t>ถ้าอยากดูไฟล์ในโฟลเดอร์ Document ต้องทำยังไง</t>
  </si>
  <si>
    <t>จะเปิดดูข้อมูลในไดรฟ์ต่าง ๆ ทำยังไง</t>
  </si>
  <si>
    <t>ถ้าอยากเปลี่ยนรูปแบบการแสดงไฟล์ต้องทำยังไง</t>
  </si>
  <si>
    <t>ไฟล์คืออะไร</t>
  </si>
  <si>
    <t>โฟลเดอร์หมายถึงอะไร</t>
  </si>
  <si>
    <t>ถ้าอยากสร้างโฟลเดอร์ใหม่ต้องทำยังไง</t>
  </si>
  <si>
    <t>จะเปลี่ยนชื่อไฟล์หรือโฟลเดอร์ทำยังไง</t>
  </si>
  <si>
    <t>ถ้าอยากเลือกหลายไฟล์พร้อมกันต้องทำยังไง</t>
  </si>
  <si>
    <t>จะคัดลอกไฟล์หรือโฟลเดอร์ทำยังไง</t>
  </si>
  <si>
    <t>ถ้าไฟล์ที่คัดลอกมีชื่อซ้ำกับไฟล์ปลายทางจะเกิดอะไรขึ้น</t>
  </si>
  <si>
    <t>จะย้ายไฟล์หรือโฟลเดอร์ไปอีกที่ทำยังไง</t>
  </si>
  <si>
    <t>ถ้าอยากลบไฟล์หรือโฟลเดอร์ต้องทำยังไง</t>
  </si>
  <si>
    <t>จะค้นหาไฟล์ในคอมทำยังไง</t>
  </si>
  <si>
    <t>อินเทอร์เน็ตคืออะไรเหรอ</t>
  </si>
  <si>
    <t>เวลาเราจะเชื่อมต่อใช้งานอินเทอร์เน็ตต้องทำยังไง</t>
  </si>
  <si>
    <t>โปรโตคอลที่ใช้บนอินเทอร์เน็ตมีอะไรบ้าง</t>
  </si>
  <si>
    <t>โดเมนเนมแบบ 2 ระดับคืออะไร</t>
  </si>
  <si>
    <t>โดเมนเนมแบบ 3 ระดับต่างจาก 2 ระดับยังไง</t>
  </si>
  <si>
    <t>โดเมนเนมที่บอกประเภทองค์กรเช่น .edu หรือ .org หมายถึงอะไร</t>
  </si>
  <si>
    <t>โดเมนเนมที่เป็นชื่อประเทศเช่น .th หรือ .jp คืออะไร</t>
  </si>
  <si>
    <t>ถ้าอยากจดทะเบียนโดเมนเนมต้องทำยังไง</t>
  </si>
  <si>
    <t>การเชื่อมต่ออินเทอร์เน็ตแบบส่วนบุคคลคือแบบไหน</t>
  </si>
  <si>
    <t>อินเทอร์เน็ตที่ใช้ในองค์กรต่างจากส่วนบุคคลยังไง</t>
  </si>
  <si>
    <t>ความเร็วดาวน์โหลดหมายถึงอะไร</t>
  </si>
  <si>
    <t>ผู้ให้บริการอินเทอร์เน็ตเขากำหนดความเร็วให้ลูกค้ายังไง</t>
  </si>
  <si>
    <t>อินเทอร์เน็ตบ้านมีลักษณะการให้บริการแบบไหน</t>
  </si>
  <si>
    <t>อินเทอร์เน็ตที่ใช้ในองค์กรมีลักษณะบริการยังไง</t>
  </si>
  <si>
    <t>อินเทอร์เน็ตสมัยก่อนกับสมัยนี้ต่างกันยังไง</t>
  </si>
  <si>
    <t>บริการคลาวด์บนอินเทอร์เน็ตคืออะไร</t>
  </si>
  <si>
    <t>บริการคลาวด์มีลักษณะการทำงานแบบไหน</t>
  </si>
  <si>
    <t>ทำไมบริการคลาวด์ถึงสำคัญ</t>
  </si>
  <si>
    <t>บริการคลาวด์มีข้อดีอะไรบ้าง</t>
  </si>
  <si>
    <t>เวลาใช้บริการคลาวด์ต้องสังเกตอะไรบ้าง</t>
  </si>
  <si>
    <t>บริการคลาวด์คอมพิวติงแบ่งออกเป็นกี่ประเภท</t>
  </si>
  <si>
    <t>IaaS หมายถึงอะไร</t>
  </si>
  <si>
    <t>PaaS คือบริการแบบไหน</t>
  </si>
  <si>
    <t>ถ้าอยากหาข้อมูลด้วย Google ต้องทำยังไง</t>
  </si>
  <si>
    <t>มีเทคนิคอะไรบ้างที่ช่วยให้ค้นหาข้อมูลใน Google ได้ตรงมากขึ้น</t>
  </si>
  <si>
    <t>Search Directories คือการค้นหาแบบไหน</t>
  </si>
  <si>
    <t>Intelligent Search คืออะไร</t>
  </si>
  <si>
    <t>ถ้าอยากค้นหาข้อมูลด้วยเสียงต้องทำยังไง</t>
  </si>
  <si>
    <t>การค้นหาด้วยภาพทำยังไง</t>
  </si>
  <si>
    <t>การค้นหาด้วย AI คืออะไร</t>
  </si>
  <si>
    <t>3.3.3.2.1</t>
  </si>
  <si>
    <t>ถ้าใช้ ChatGPT ค้นหาข้อมูลต้องทำยังไง</t>
  </si>
  <si>
    <t>ทำไมต้องมีบัญชี Google</t>
  </si>
  <si>
    <t>ถ้าอยากสมัครบัญชี Google ต้องทำยังไง</t>
  </si>
  <si>
    <t>ทำไมอีเมลถึงสำคัญ</t>
  </si>
  <si>
    <t>Gmail ทำงานยังไง</t>
  </si>
  <si>
    <t>ถ้าอยากเข้าใช้งาน Gmail ต้องทำยังไง</t>
  </si>
  <si>
    <t>เมนูหลัก ๆ ใน Gmail มีอะไรบ้าง</t>
  </si>
  <si>
    <t>ถ้าอยากให้ Gmail แสดงเป็นภาษาไทยต้องตั้งค่ายังไง</t>
  </si>
  <si>
    <t>ถ้าอยากเขียนอีเมลใหม่ใน Gmail ต้องทำยังไง</t>
  </si>
  <si>
    <t>เวลาเลิกใช้งาน Gmail ต้องออกจากระบบยังไง</t>
  </si>
  <si>
    <t>ถ้าใช้มือถือ Android อยากเปิด Gmail ต้องทำยังไง</t>
  </si>
  <si>
    <t>ถ้าใช้ iPhone อยากเข้า Gmail ต้องทำยังไง</t>
  </si>
  <si>
    <t>YouTube ทำงานยังไงเหรอ</t>
  </si>
  <si>
    <t>ถ้าใช้มือถือ Android อยากดูคลิปใน YouTube ต้องทำยังไง</t>
  </si>
  <si>
    <t>ถ้าใช้ iPhone อยากเปิด YouTube ต้องทำยังไง</t>
  </si>
  <si>
    <t>Google Calendar เอาไว้ทำอะไร</t>
  </si>
  <si>
    <t>ถ้าใช้มือถือ Android อยากเพิ่มนัดหมายใน Google Calendar ต้องทำยังไง</t>
  </si>
  <si>
    <t>ถ้าใช้ iPhone อยากตั้งเตือนใน Google Calendar ต้องทำยังไง</t>
  </si>
  <si>
    <t>อินเทอร์เน็ตถูกใช้งานในชีวิตประจำวันอย่างไร</t>
  </si>
  <si>
    <t>ตอบได้ตรงตามเนื้อหา</t>
  </si>
  <si>
    <t>ตอบไม่ตรงตามเนื้อหา</t>
  </si>
  <si>
    <t>Keyword ตรง</t>
  </si>
  <si>
    <t>Keyword คลุมเครือ</t>
  </si>
  <si>
    <t>ผลการตอบ</t>
  </si>
  <si>
    <t>Keyword</t>
  </si>
  <si>
    <t xml:space="preserve"> </t>
  </si>
  <si>
    <t>คอมพิวเตอร์มีหลักการทำงานอย่างไร</t>
  </si>
  <si>
    <t>ประเภท</t>
  </si>
  <si>
    <t>ผู้ใช้งานทั่วไปหมายถึงใครบ้าง</t>
  </si>
  <si>
    <t>ชุด</t>
  </si>
  <si>
    <t>สุ่ม</t>
  </si>
  <si>
    <t>บท</t>
  </si>
  <si>
    <t>2.1.3.2.1 ระบบปฏิบัติการแบบโอเพนซอร์ซ</t>
  </si>
  <si>
    <t>การจัดการโฟลเดอร์มีความสำคัญอย่างไร</t>
  </si>
  <si>
    <t>เครื่องพิมพ์เลเซอร์ทำงานยังไง</t>
  </si>
  <si>
    <t>ขอขั้นตอนการใช้งานแอปพลิเคชั่น Gmail บนอุปกรณ์เคลื่อนที่ระบบปฏิบัติการ ios</t>
  </si>
  <si>
    <t>การปรับความละเอียดหน้าจอคืออะไร</t>
  </si>
  <si>
    <t>ความสำคัญของบัญชี google คืออะไร</t>
  </si>
  <si>
    <t>ขอขั้นตอนการย้ายไฟล์หรือโฟลเดอร์</t>
  </si>
  <si>
    <t>ถ้าไม่มีระบบปฏิบัติการคอมพิวเตอร์จะทำงานได้ไหม</t>
  </si>
  <si>
    <t>ถ้าอยากใช้ของฟรีแบบถูกกฎหมายและแก้โค้ดได้เองต้องไปหาจากที่ไหน</t>
  </si>
  <si>
    <t>ถ้าไม่มีฮาร์ดแวร์คอมพิวเตอร์ทำงานได้ไหม</t>
  </si>
  <si>
    <t>หากจะส่งข้อมูลข้ามประเทศถือว่าเป็นเทตโนโลยีอะไร</t>
  </si>
  <si>
    <t>หากจดหมายที่เขียนค้างไว้หายไป ต้องไปค้นหาที่ไหน</t>
  </si>
  <si>
    <t>ถ้าอยากให้เมนูดูสีสดใสขึ้นต้องปรับที่ไหน</t>
  </si>
  <si>
    <t>สามารถใช้ AI ในการค้นหาข้อมูลได้อย่างไร</t>
  </si>
  <si>
    <t>Chatbot_Response</t>
  </si>
  <si>
    <t>คอมพิวเตอร์มีหลักการทำงานตามวงจร Input Process Output Storage ค่ะ โดยมีส่วนประกอบหลักดังนี้
หน่วยรับข้อมูล (Input Unit): รับข้อมูลเข้าสู่ระบบ เช่น คีย์บอร์ด เมาส์
หน่วยประมวลผล (Processing Unit): ประมวลผลข้อมูลตามคำสั่ง โดยมี CPU เป็นหน่วยประมวลผลกลาง
หน่วยความจำ (Memory Unit): เก็บข้อมูลและคำสั่งที่ใช้ในการประมวลผล
หน่วยแสดงผล (Output Unit): แสดงผลลัพธ์จากการประมวลผล เช่น จอภาพ เครื่องพิมพ์
ไม่ทราบว่านักเรียนต้องการทราบรายละเอียดของหน่วยใดเพิ่มเติมไหมคะ</t>
  </si>
  <si>
    <t>หากไม่มีระบบปฏิบัติการ คอมพิวเตอร์จะไม่สามารถทำงานได้ค่ะ
ระบบปฏิบัติการ (Operating System - OS) ทำหน้าที่เป็นตัวกลางสำคัญระหว่างฮาร์ดแวร์และซอฟต์แวร์ประยุกต์ ทำให้ผู้ใช้สามารถสั่งงานและใช้งานคอมพิวเตอร์ได้ หากไม่มีระบบปฏิบัติการ คอมพิวเตอร์ก็เหมือนกับเครื่องจักรที่ไม่มีระบบควบคุม จึงไม่สามารถประมวลผลคำสั่งใดๆ หรือแสดงผลลัพธ์ออกมาได้ค่ะ</t>
  </si>
  <si>
    <t>อินเทอร์เน็ตคือเครือข่ายคอมพิวเตอร์ขนาดใหญ่ที่เชื่อมโยงกันทั่วโลกค่ะ
เครือข่ายนี้ช่วยให้คอมพิวเตอร์และอุปกรณ์ต่างๆ สามารถแลกเปลี่ยนข้อมูลและสื่อสารกันได้ ทำให้เราสามารถเข้าถึงข้อมูลจำนวนมหาศาล ส่งอีเมล ดูวิดีโอ ทำงานออนไลน์ ซื้อขายสินค้า และติดต่อสื่อสารกับผู้อื่นผ่านช่องทางต่างๆ ได้อย่างสะดวกค่ะ</t>
  </si>
  <si>
    <t>คอมพิวเตอร์ที่ใช้งานเฉพาะด้านถูกออกแบบมาเพื่อทำงานที่เจาะจงและมีความต้องการพิเศษค่ะ
ตัวอย่างงานที่ใช้คอมพิวเตอร์ประเภทนี้ ได้แก่:
การควบคุมระบบอุตสาหกรรม: ควบคุมเครื่องจักรในโรงงาน หรือกระบวนการผลิตอัตโนมัติ
เครื่องมือทางการแพทย์: ใช้ในการวินิจฉัย การผ่าตัด หรือการทำงานของอุปกรณ์ทางการแพทย์ที่ซับซ้อน
ระบบควบคุมการบิน: ควบคุมการจราจรทางอากาศ หรือระบบนำทางในอากาศยาน
งานวิจัยทางวิทยาศาสตร์: ใช้ในการประมวลผลข้อมูลจากการทดลอง หรือการจำลองสถานการณ์ที่ซับซ้อน
คอมพิวเตอร์เหล่านี้มักมีฮาร์ดแวร์และซอฟต์แวร์ที่ปรับแต่งมาโดยเฉพาะเพื่อให้ทำงานได้อย่างแม่นยำและมีประสิทธิภาพสูงสุดในงานนั้นๆ ค่ะ</t>
  </si>
  <si>
    <t>TPM ที่ Windows 11 ต้องการคือ Trusted Platform Module ค่ะ
TPM เป็นชิปความปลอดภัยที่ติดตั้งอยู่บนเมนบอร์ดของคอมพิวเตอร์ หรือเป็นเฟิร์มแวร์ที่ฝังอยู่ใน CPU หน้าที่หลักของ TPM คือการเพิ่มความปลอดภัยให้กับระบบ โดยช่วยในการเข้ารหัสข้อมูล การตรวจสอบความถูกต้องของระบบ และการจัดการคีย์การเข้ารหัสต่างๆ เพื่อป้องกันการเข้าถึงข้อมูลโดยไม่ได้รับอนุญาตค่ะ</t>
  </si>
  <si>
    <t>ซอฟต์แวร์ประยุกต์ (Application Software) คือชุดคำสั่งหรือโปรแกรมที่ออกแบบมาเพื่อให้ผู้ใช้สามารถทำงานเฉพาะด้านได้โดยตรงค่ะ
ซอฟต์แวร์ประเภทนี้จะช่วยให้ผู้ใช้ทำงานต่างๆ ได้อย่างสะดวกและมีประสิทธิภาพมากขึ้น เช่น:
โปรแกรมประมวลผลคำ: เช่น Microsoft Word, Google Docs ใช้สำหรับพิมพ์เอกสาร
โปรแกรมตารางคำนวณ: เช่น Microsoft Excel, Google Sheets ใช้สำหรับจัดการข้อมูลตัวเลขและสร้างกราฟ
โปรแกรมนำเสนอ: เช่น Microsoft PowerPoint, Google Slides ใช้สำหรับสร้างสไลด์นำเสนอ
โปรแกรมตกแต่งภาพ: เช่น Adobe Photoshop, GIMP ใช้สำหรับแก้ไขและสร้างรูปภาพ
เว็บเบราว์เซอร์: เช่น Google Chrome, Firefox ใช้สำหรับเข้าถึงอินเทอร์เน็ต
ซอฟต์แวร์ประยุกต์จะทำงานอยู่บนระบบปฏิบัติการ (Operating System) ซึ่งเป็นซอฟต์แวร์ระบบที่ทำหน้าที่จัดการทรัพยากรฮาร์ดแวร์และเป็นตัวกลางระหว่างผู้ใช้กับคอมพิวเตอร์ค่ะ</t>
  </si>
  <si>
    <t>การจัดการโฟลเดอร์มีความสำคัญอย่างยิ่งต่อการใช้งานคอมพิวเตอร์ค่ะ เพราะช่วยให้:
การค้นหาข้อมูลทำได้รวดเร็ว: การจัดระเบียบไฟล์ในโฟลเดอร์ที่เหมาะสม ทำให้คุณสามารถค้นหาเอกสารหรือข้อมูลที่ต้องการได้อย่างรวดเร็ว ไม่ต้องเสียเวลาค้นหาในที่ต่างๆ
ลดความซ้ำซ้อนของข้อมูล: เมื่อไฟล์ถูกจัดเก็บอย่างเป็นระบบ จะช่วยป้องกันการสร้างไฟล์ซ้ำซ้อนโดยไม่จำเป็น ซึ่งช่วยประหยัดพื้นที่จัดเก็บ
เพิ่มประสิทธิภาพในการทำงาน: การเข้าถึงไฟล์ที่ต้องการได้ง่าย ช่วยให้ทำงานได้ต่อเนื่องและมีประสิทธิภาพมากขึ้น
ความเป็นระเบียบ: การมีโครงสร้างโฟลเดอร์ที่ดี ทำให้ระบบไฟล์ของคุณเป็นระเบียบเรียบร้อย ง่ายต่อการจัดการและบำรุงรักษา
การสำรองข้อมูล: การจัดการโฟลเดอร์ที่ดีช่วยให้การสำรองข้อมูลเป็นไปอย่างมีประสิทธิภาพ โดยสามารถเลือกระบุโฟลเดอร์ที่สำคัญเพื่อสำรองข้อมูลได้ง่ายขึ้น
โดยสรุป การจัดการโฟลเดอร์เปรียบเสมือนการจัดระเบียบเอกสารในตู้เก็บเอกสาร ช่วยให้ทุกอย่างเป็นระบบ ค้นหาง่าย และทำงานได้อย่างราบรื่นค่ะ</t>
  </si>
  <si>
    <t>เมนู Display settings ในระบบปฏิบัติการ Windows ใช้สำหรับปรับแต่งการแสดงผลบนหน้าจอคอมพิวเตอร์ของคุณค่ะ โดยสามารถปรับค่าต่างๆ ได้ดังนี้:
ขนาดของข้อความและแอปพลิเคชัน (Scale and layout): คุณสามารถปรับขนาดของตัวอักษร ไอคอน และส่วนประกอบอื่นๆ บนหน้าจอให้ใหญ่ขึ้นหรือเล็กลงได้ตามความเหมาะสม เพื่อให้อ่านได้ง่ายขึ้น
ความละเอียดของหน้าจอ (Display resolution): เป็นการปรับจำนวนพิกเซลที่แสดงบนหน้าจอ ซึ่งส่งผลต่อความคมชัดและความกว้างของพื้นที่แสดงผล การเลือกความละเอียดที่เหมาะสมจะช่วยให้ภาพคมชัดและแสดงผลได้เต็มประสิทธิภาพ
การวางแนวของจอภาพ (Display orientation): คุณสามารถเลือกรูปแบบการแสดงผลของหน้าจอได้ เช่น แนวนอน (Landscape) หรือแนวตั้ง (Portrait) ซึ่งมีประโยชน์ในบางกรณี เช่น การทำงานกับเอกสารยาวๆ
การปรับความสว่าง (Brightness): ในบางอุปกรณ์ คุณสามารถปรับระดับความสว่างของหน้าจอได้โดยตรงจากเมนูนี้
การตั้งค่าหลายจอภาพ (Multiple displays): หากคุณเชื่อมต่อจอภาพหลายจอเข้ากับคอมพิวเตอร์ คุณสามารถตั้งค่าการแสดงผลสำหรับแต่ละจอได้ เช่น การขยายหน้าจอ หรือการแสดงผลซ้ำกัน
การปรับแต่งค่าเหล่านี้จะช่วยให้คุณได้รับประสบการณ์การใช้งานคอมพิวเตอร์ที่สบายตาและเหมาะสมกับการใช้งานของคุณมากที่สุดค่ะ</t>
  </si>
  <si>
    <t>โดเมนเนมแบบ 3 ระดับคืออะไร</t>
  </si>
  <si>
    <t>โดเมนเนมแบบ 3 ระดับ คือ โดเมนเนมที่มีโครงสร้างประกอบด้วย ชื่อโดเมนย่อย (Subdomain) เพิ่มเข้ามา นอกเหนือจากชื่อโดเมนหลักและนามสกุลโดเมนค่ะ
โดยทั่วไป โครงสร้างของโดเมนเนมแบบ 3 ระดับ จะมีรูปแบบดังนี้:
[ชื่อโดเมนย่อย].[ชื่อโดเมนหลัก].[นามสกุลโดเมน]
ตัวอย่างเช่น:
mail.example.com
mail คือ ชื่อโดเมนย่อย (Subdomain)
example คือ ชื่อโดเมนหลัก (Domain Name)
com คือ นามสกุลโดเมน (Top-Level Domain - TLD)
การมีโดเมนเนมแบบ 3 ระดับ ช่วยให้สามารถแบ่งหมวดหมู่หรือบริการย่อยๆ ภายใต้โดเมนหลักเดียวกันได้ เช่น mail สำหรับบริการอีเมล, www สำหรับเว็บไซต์หลัก, blog สำหรับบล็อก เป็นต้น ทำให้การจัดการและการเข้าถึงข้อมูลมีความเป็นระเบียบมากขึ้นค่ะ</t>
  </si>
  <si>
    <t>บริการคลาวด์มีข้อดีหลายประการที่ช่วยเพิ่มความสะดวกและประสิทธิภาพในการใช้งานค่ะ ข้อดีหลักๆ มีดังนี้:
การเข้าถึงง่าย: ผู้ใช้สามารถเข้าถึงข้อมูลและแอปพลิเคชันผ่านอินเทอร์เน็ตได้จากทุกที่ทุกเวลา และจากอุปกรณ์ที่หลากหลาย
ขยายระบบได้รวดเร็ว: สามารถเพิ่มหรือลดทรัพยากร (เช่น พื้นที่จัดเก็บ, กำลังประมวลผล) ได้อย่างรวดเร็วตามความต้องการ โดยไม่ต้องลงทุนซื้อฮาร์ดแวร์ใหม่
ลดต้นทุน: ช่วยลดค่าใช้จ่ายในการลงทุนซื้อและบำรุงรักษาฮาร์ดแวร์และซอฟต์แวร์ รวมถึงลดค่าใช้จ่ายด้านบุคลากรในการจัดการระบบ
รองรับการทำงานร่วมกัน: ช่วยให้ทีมงานสามารถทำงานร่วมกันบนเอกสารหรือโปรเจกต์เดียวกันได้อย่างมีประสิทธิภาพ โดยทุกคนสามารถเข้าถึงข้อมูลล่าสุดได้
ความยืดหยุ่น: สามารถปรับเปลี่ยนรูปแบบการใช้งานให้เหมาะสมกับความต้องการขององค์กรหรือผู้ใช้แต่ละรายได้
ข้อดีเหล่านี้ทำให้บริการคลาวด์เป็นที่นิยมอย่างมากในปัจจุบันค่ะ</t>
  </si>
  <si>
    <t>สำหรับการติดตั้ง Windows 10 บนฮาร์ดดิสก์ จำเป็นต้องมีพื้นที่ว่างตามข้อกำหนดขั้นต่ำดังนี้ค่ะ:
สำหรับระบบ 32-bit: ต้องการพื้นที่ว่างในฮาร์ดดิสก์อย่างน้อย 16 GB
สำหรับระบบ 64-bit: ต้องการพื้นที่ว่างในฮาร์ดดิสก์อย่างน้อย 20 GB
อย่างไรก็ตาม แนะนำให้มีพื้นที่ว่างมากกว่านี้เล็กน้อย เพื่อให้ระบบสามารถทำงานได้อย่างราบรื่น และมีพื้นที่เพียงพอสำหรับการอัปเดตซอฟต์แวร์และไฟล์ชั่วคราวต่างๆ ค่ะ</t>
  </si>
  <si>
    <t>ลิขสิทธิ์ Windows แบบ FPP (Full Package Product) หมายถึง ลิขสิทธิ์ซอฟต์แวร์ที่จำหน่ายในรูปแบบกล่องทั่วไปค่ะ
การโอนย้ายสิทธิ์: ข้อแตกต่างสำคัญจากลิขสิทธิ์แบบ OEM คือ FPP สามารถโอนย้ายสิทธิ์การใช้งานจากคอมพิวเตอร์เครื่องเก่าไปยังเครื่องใหม่ได้ โดยมีเงื่อนไขว่าต้องถอนการติดตั้งออกจากเครื่องเดิมก่อน
ข้อจำกัด: แม้จะโอนย้ายได้ สิทธิ์การใช้งานยังคงจำกัดอยู่ที่ 1 สิทธิ์ต่อ 1 เครื่องเท่านั้นค่ะ
การจำหน่าย: เป็นรูปแบบที่หาซื้อได้ทั่วไปตามร้านค้าคอมพิวเตอร์ค่ะ</t>
  </si>
  <si>
    <t>ไอคอนถังขยะ (Recycle Bin) ในระบบปฏิบัติการ Windows มีหน้าที่หลักดังนี้ค่ะ:
เก็บไฟล์ที่ถูกลบชั่วคราว: เมื่อคุณลบไฟล์หรือโฟลเดอร์ ไอคอนนั้นจะทำหน้าที่เป็นที่เก็บไฟล์เหล่านั้นชั่วคราวก่อนที่จะถูกลบออกจากเครื่องอย่างถาวร
กู้คืนไฟล์: หากคุณต้องการกู้คืนไฟล์ที่ลบไป คุณสามารถเข้าไปที่ไอคอนถังขยะ เลือกไฟล์ที่ต้องการ แล้วเลือก "Restore" เพื่อนำไฟล์กลับไปยังตำแหน่งเดิม
ลบไฟล์ถาวร: หากคุณมั่นใจว่าไม่ต้องการไฟล์นั้นอีกต่อไป คุณสามารถลบไฟล์ออกจากถังขยะเพื่อคืนพื้นที่จัดเก็บในฮาร์ดดิสก์ได้ โดยการคลิกขวาที่ไอคอนถังขยะแล้วเลือก "Empty Recycle Bin" ค่ะ</t>
  </si>
  <si>
    <t>ตัวชี้เมาส์ (Mouse Pointer) ในระบบปฏิบัติการ Windows ทำหน้าที่เป็นสัญลักษณ์ที่ใช้บ่งบอกตำแหน่งปัจจุบันของเมาส์บนหน้าจอค่ะ
ระบุตำแหน่ง: ช่วยให้ผู้ใช้ทราบว่ากำลังจะคลิกหรือเลือกสิ่งใดบนหน้าจอ
แสดงสถานะ: ตัวชี้เมาส์สามารถเปลี่ยนรูปร่างไปตามบริบทของการทำงาน เช่น เปลี่ยนเป็นรูปนาฬิกาทรายเมื่อระบบกำลังประมวลผล หรือเปลี่ยนเป็นรูปมือเมื่อชี้ไปยังลิงก์ที่สามารถคลิกได้
การโต้ตอบ: ใช้ในการสั่งงานต่างๆ เช่น การคลิก การลาก การวาง หรือการเลือกวัตถุต่างๆ บนหน้าจอ
โดยสรุป ตัวชี้เมาส์เป็นเครื่องมือสำคัญที่ช่วยให้ผู้ใช้สามารถโต้ตอบกับคอมพิวเตอร์ได้อย่างมีประสิทธิภาพค่ะ</t>
  </si>
  <si>
    <t>Desktop Icon Setting ใช้สำหรับกำหนดการแสดงผลของไอคอนหลักบนหน้าจอเดสก์ท็อปค่ะ
เลือกไอคอนที่จะแสดง: คุณสามารถเลือกได้ว่าจะให้ไอคอนสำคัญ เช่น This PC, Recycle Bin, Control Panel แสดงบนหน้าจอเดสก์ท็อปหรือไม่
การจัดการไอคอน: ช่วยให้ผู้ใช้สามารถปรับแต่งหน้าจอเดสก์ท็อปให้มีเฉพาะไอคอนที่จำเป็นต่อการใช้งาน ทำให้หน้าจอไม่รกและดูเป็นระเบียบมากขึ้น
การตั้งค่านี้ช่วยให้คุณปรับแต่งหน้าจอเดสก์ท็อปให้เหมาะสมกับความต้องการและรูปแบบการใช้งานของคุณค่ะ</t>
  </si>
  <si>
    <t>ขั้นตอนการใช้งานแอปพลิเคชัน Gmail บนอุปกรณ์เคลื่อนที่ระบบปฏิบัติการ iOS มีดังนี้ค่ะ:
ดาวน์โหลดแอปพลิเคชัน: หากยังไม่มี ให้ดาวน์โหลดแอป Gmail จาก App Store
เปิดแอป: แตะที่ไอคอนแอป Gmail เพื่อเปิดใช้งาน
ลงชื่อเข้าใช้: แตะที่ "Sign in" (ลงชื่อเข้าใช้)
กรอกข้อมูล: กรอกอีเมลและรหัสผ่านบัญชี Google ของคุณ
ดำเนินการต่อ: แตะที่ "Next" (ถัดไป) เพื่อเข้าสู่กล่องจดหมาย Gmail
จัดการอีเมล: คุณสามารถกด "Compose" (เขียน) เพื่อเขียนอีเมลใหม่ หรือใช้เมนูต่างๆ เช่น Inbox (กล่องจดหมาย), Sent (ส่งแล้ว), Drafts (ร่างจดหมาย) เพื่อจัดการอีเมลของคุณได้
หากต้องการออกจากระบบเพื่อความปลอดภัย ควรคลิกที่รูปโปรไฟล์ของคุณบริเวณมุมขวาบนของหน้าจอ แล้วเลือกเมนู "Sign out" (ออกจากระบบ) ค่ะ</t>
  </si>
  <si>
    <t>การปรับความละเอียดหน้าจอคือการตั้งค่าจำนวนพิกเซล (จุดเล็กๆ ที่ประกอบกันเป็นภาพบนหน้าจอ) ที่จะแสดงผลบนหน้าจอคอมพิวเตอร์ค่ะ
ความละเอียดสูง: หมายถึงมีจำนวนพิกเซลมาก ทำให้แสดงผลได้คมชัด รายละเอียดมากขึ้น และสามารถแสดงเนื้อหาได้กว้างขึ้น
ความละเอียดต่ำ: หมายถึงมีจำนวนพิกเซลน้อย ทำให้ภาพอาจดูหยาบขึ้น และแสดงเนื้อหาได้น้อยลง
การปรับความละเอียดหน้าจอสามารถทำได้ในเมนู Display setting ของระบบปฏิบัติการ Windows เพื่อให้เหมาะสมกับการใช้งานและขนาดของหน้าจอค่ะ</t>
  </si>
  <si>
    <t>สำหรับแอปพลิเคชันพื้นฐานที่มักใช้บนอุปกรณ์เคลื่อนที่ระบบปฏิบัติการ iOS มีดังนี้ค่ะ:
Gmail: ใช้สำหรับส่ง รับ และจัดการอีเมล
YouTube: ใช้สำหรับรับชม แชร์ และอัปโหลดวิดีโอ
Google Calendar: ใช้สำหรับจัดการตารางเวลาและกิจกรรมต่างๆ
แอปพลิเคชันเหล่านี้ช่วยให้ผู้ใช้สามารถทำงาน ติดต่อสื่อสาร และจัดการชีวิตประจำวันได้อย่างสะดวกทุกที่ทุกเวลาค่ะ</t>
  </si>
  <si>
    <t>การดูแลรักษาเครื่องคอมพิวเตอร์ให้ใช้งานได้ยาวนาน สามารถทำได้หลายวิธี ดังนี้ค่ะ:
การทำความสะอาด:
ทำความสะอาดฝุ่นที่เกาะอยู่ตามช่องระบายอากาศ พัดลม และส่วนประกอบภายในเครื่องอย่างสม่ำเสมอ
ทำความสะอาดคีย์บอร์ดและเมาส์เพื่อป้องกันสิ่งสกปรกสะสม
การอัปเดตซอฟต์แวร์:
อัปเดตระบบปฏิบัติการ Windows และโปรแกรมต่างๆ ให้เป็นเวอร์ชันล่าสุดอยู่เสมอ เพื่อแก้ไขข้อผิดพลาดและเพิ่มประสิทธิภาพด้านความปลอดภัย
การจัดการไฟล์และพื้นที่เก็บข้อมูล:
จัดระเบียบไฟล์และโฟลเดอร์ให้เป็นระเบียบ เพื่อให้ง่ายต่อการค้นหาและจัดการ
ลบไฟล์ที่ไม่จำเป็นออกเป็นประจำ เพื่อเพิ่มพื้นที่ว่างในฮาร์ดดิสก์
การป้องกันความเสียหาย:
วางคอมพิวเตอร์ในตำแหน่งที่เหมาะสม หลีกเลี่ยงความร้อนสูง ความชื้น หรือแสงแดดโดยตรง
ระมัดระวังเรื่องการใช้ไฟฟ้า เช่น การใช้ปลั๊กพ่วงที่มีคุณภาพ และการป้องกันไฟกระชาก
การดูแลสุขภาพผู้ใช้:
ปรับสภาพแวดล้อมการทำงานให้เหมาะสม เช่น แสงสว่างเพียงพอ และท่านั่งที่ถูกต้อง เพื่อลดความเมื่อยล้าจากการใช้งานเป็นเวลานาน
การดูแลรักษาอย่างสม่ำเสมอจะช่วยยืดอายุการใช้งานของคอมพิวเตอร์และป้องกันปัญหาที่อาจเกิดขึ้นได้ค่ะ</t>
  </si>
  <si>
    <t>บัญชี Google มีความสำคัญอย่างยิ่งในการใช้งานบริการต่างๆ ของ Google ค่ะ โดยมีประโยชน์หลักดังนี้:
การเข้าถึงบริการ: ช่วยให้คุณสามารถเข้าถึงบริการต่างๆ ของ Google ได้อย่างเต็มรูปแบบ เช่น Gmail, YouTube, Google Drive, Google Photos และอื่นๆ อีกมากมาย
การลงชื่อเข้าใช้: ใช้ในการลงชื่อเข้าใช้แอปพลิเคชันหรือเว็บไซต์อื่นๆ ที่รองรับการเข้าสู่ระบบด้วยบัญชี Google ได้อย่างสะดวก
การซิงค์ข้อมูล: ช่วยในการซิงค์ข้อมูลข้ามอุปกรณ์ เช่น รายชื่อติดต่อ ปฏิทิน และการตั้งค่าต่างๆ ทำให้สามารถเข้าถึงข้อมูลได้จากทุกที่
การปรับแต่งประสบการณ์: ช่วยให้ Google สามารถปรับแต่งประสบการณ์การใช้งานให้ตรงกับความสนใจและความต้องการของคุณได้ดียิ่งขึ้น
การมีบัญชี Google จึงเปรียบเสมือนกุญแจสำคัญที่ช่วยปลดล็อกการใช้งานบริการดิจิทัลต่างๆ ได้อย่างครบวงจรค่ะ</t>
  </si>
  <si>
    <t>การย้ายไฟล์หรือโฟลเดอร์ในระบบปฏิบัติการ Windows สามารถทำได้ง่ายๆ โดยมีขั้นตอนดังนี้ค่ะ:
เลือกไฟล์หรือโฟลเดอร์:
คลิกขวาที่ไฟล์หรือโฟลเดอร์ที่ต้องการย้าย
เลือกเมนู "Cut" (ตัด)
ไปยังตำแหน่งปลายทาง:
เปิดโฟลเดอร์หรือไดรฟ์ที่คุณต้องการย้ายไฟล์หรือโฟลเดอร์ไปวาง
คลิกขวาที่พื้นที่ว่างในโฟลเดอร์ปลายทาง
วางไฟล์หรือโฟลเดอร์:
เลือกเมนู "Paste" (วาง)
เมื่อดำเนินการ "Paste" แล้ว ไฟล์หรือโฟลเดอร์ต้นฉบับจะถูกลบออกและย้ายมายังตำแหน่งใหม่ค่ะ</t>
  </si>
  <si>
    <t>3.1.1 ความหมายของอินเทอร์เน็ต</t>
  </si>
  <si>
    <t>2.2.3.2.5 TPM สำหรับวินโดวส์ 11</t>
  </si>
  <si>
    <t>1.3.2.3 ซอฟต์แวร์ประยุกต์</t>
  </si>
  <si>
    <t>2.1.2.3 ความสำคัญต่อการจัดการไฟล์และโฟลเดอร์</t>
  </si>
  <si>
    <t>2.4.1.3 Display setting</t>
  </si>
  <si>
    <t>3.1.4.2 โดเมนเนม 3 ระดับ</t>
  </si>
  <si>
    <t>3.2.5 ข้อดีของของการให้บริการคลาวด์ในอินเทอร์เน็ต</t>
  </si>
  <si>
    <t>2.2.3.1.4 ความต้องการของวินโดวส์ 10</t>
  </si>
  <si>
    <t>2.2.2.2 รูปแบบ FPP</t>
  </si>
  <si>
    <t>2.3.1.2.3 ไอคอนถังขยะ</t>
  </si>
  <si>
    <t>2.3.1.7 ตัวชี้เม้าส์</t>
  </si>
  <si>
    <t xml:space="preserve">2.4.6.1.5 การกำหนด Desktop Icon Setting </t>
  </si>
  <si>
    <t>1.5.1.2 เครื่องพิมพ์เลเซอร์</t>
  </si>
  <si>
    <t>3.6.1.2 ขั้นตอนการใช้งานแอปพลิเคชั่น Gmail บนอุปกรณ์เคลื่อนที่ระบบปฏิบัติการ ios</t>
  </si>
  <si>
    <t>3.6.3.2 ขั้นตอนการใช้งานแอปพลิเคชั่น Google Calendar บนอุปกรณ์เคลื่อนที่ระบบปฏิบัติการ android</t>
  </si>
  <si>
    <t>2.4.3.2 ปรับความละเอียดการแสดงผลบนจอภาพ</t>
  </si>
  <si>
    <t>1.6.1.3 แอปพลิเคชั่นบนระบบปฏิบัติการในอุปกรณ์เคลื่อนที่ ios</t>
  </si>
  <si>
    <t>1.4.1.2 การใช้งานและการบำรุงรักษาเครื่อง</t>
  </si>
  <si>
    <t>3.4.1 ความสำคัญของการมีบัญชี google</t>
  </si>
  <si>
    <t>2.7.4.7 ขั้นตอนการย้ายไฟล์หรือโฟลเดอร์</t>
  </si>
  <si>
    <t>2.1.1 ความหมายของระบบปฏิบัติการ</t>
  </si>
  <si>
    <t>1.2.1.2 คอมพิวเตอร์ใช้งานเฉพาะด้าน</t>
  </si>
  <si>
    <t>1.3.1.6 อุปกรณ์เสริมการใช้งาน</t>
  </si>
  <si>
    <t>1.3.3.3 โปรแกรมเมอร์</t>
  </si>
  <si>
    <t>3.1.5.2 การเชื่อมต่อแบบองค์กร</t>
  </si>
  <si>
    <t>3.1.6.5 ลักษณะการให้บริการของอินเทอร์เน็ตองค์กร</t>
  </si>
  <si>
    <t>3.2.7.3 ความหมายของ Platform as a Service (PaaS)</t>
  </si>
  <si>
    <t>1.3.1.1 ความหมายของฮาร์ดแวร์</t>
  </si>
  <si>
    <t>1.7.3.2 เทคโนโลยีด้านการสื่อสารและโทรคมนาคม</t>
  </si>
  <si>
    <t>3.5.3.1 เมนูของ Gmail</t>
  </si>
  <si>
    <t>2.4.5.1 ขั้นตอนการใช้งานโปรแกรมถนอมจอภาพ</t>
  </si>
  <si>
    <t>1.5.4.2 ไมโครโฟนแบบคอนเด็นเซอร์</t>
  </si>
  <si>
    <t>2.4.2.2.1 Name</t>
  </si>
  <si>
    <t>2.4.4.2 Colors</t>
  </si>
  <si>
    <t>2.7.1.1 ขั้นตอนการแสดงข้อมูลในโฟลเดอร์ Document</t>
  </si>
  <si>
    <t>2.7.4.3 ขั้นตอนการสร้างโฟลเดอร์</t>
  </si>
  <si>
    <t>3.3.3 ลักษณะการค้นหาแบบ Intelligent Search</t>
  </si>
  <si>
    <t>ขอขั้นตอนการใช้แอปพลิเคชั่น Google Calendar บนอุปกรณ์เคลื่อนที่ระบบปฏิบัติการ ios</t>
  </si>
  <si>
    <t>การใช้งานแอปพลิเคชัน Google Calendar บนอุปกรณ์เคลื่อนที่ระบบปฏิบัติการ iOS มีขั้นตอนดังนี้ค่ะ:
ดาวน์โหลดและเปิดแอป:
หากยังไม่มี ให้ดาวน์โหลดแอป Google Calendar จาก App Store
เปิดแอป Google Calendar ขึ้นมา
เข้าสู่ระบบ:
กด "Sign in" (ลงชื่อเข้าใช้)
กรอกอีเมลและรหัสผ่านบัญชี Google ของคุณ
กด "Next" (ถัดไป) เพื่อเข้าสู่กล่องจดหมาย
สร้างกิจกรรม:
กดปุ่ม "+" (เครื่องหมายบวก) เพื่อสร้างกิจกรรมใหม่
กำหนดชื่อกิจกรรม, เวลา, สถานที่ และการแจ้งเตือนตามต้องการ
กด "Save" (บันทึก) เพื่อบันทึกกิจกรรม
เมื่อสร้างกิจกรรมแล้ว กิจกรรมจะปรากฏในปฏิทินของคุณ และคุณจะได้รับการแจ้งเตือนตามเวลาที่ตั้งไว้ค่ะ</t>
  </si>
  <si>
    <t>อุปกรณ์อินพุต:
คีย์บอร์ดและเมาส์ไร้สาย: ช่วยลดความยุ่งเหยิงของสายเคเบิล และเพิ่มความยืดหยุ่นในการวางตำแหน่ง
แท็บเล็ตปากกา (Drawing Tablet): เหมาะสำหรับงานออกแบบ กราฟิก หรือการวาดภาพดิจิทัล
เว็บแคมคุณภาพสูง: ช่วยให้การประชุมออนไลน์หรือการสตรีมมิ่งมีคุณภาพของภาพที่ดีขึ้น
อุปกรณ์เอาท์พุต:
ลำโพงภายนอก: ให้คุณภาพเสียงที่ดีกว่าลำโพงติดเครื่อง เหมาะสำหรับการฟังเพลง ดูหนัง หรือเล่นเกม
หูฟัง: ช่วยให้ความเป็นส่วนตัวในการฟังเสียง และตัดเสียงรบกวนภายนอกได้
อุปกรณ์จัดเก็บข้อมูล:
External Hard Drive หรือ SSD: เพิ่มพื้นที่จัดเก็บข้อมูลสำรอง หรือใช้ในการย้ายข้อมูลระหว่างคอมพิวเตอร์
USB Flash Drive: สะดวกสำหรับการพกพาและถ่ายโอนข้อมูลขนาดเล็ก
อุปกรณ์เสริมอื่นๆ:
แท่นวางโน้ตบุ๊ก (Laptop Stand): ช่วยปรับระดับหน้าจอโน้ตบุ๊กให้อยู่ในระดับสายตา ลดอาการปวดคอและหลัง
แท่นวางฮาร์ดดิสก์ (Docking Station): ช่วยให้สามารถเชื่อมต่อฮาร์ดดิสก์ภายนอกได้หลายตัวพร้อมกัน
ที่ทำความสะอาดหน้าจอและอุปกรณ์: ช่วยรักษาความสะอาดของอุปกรณ์ให้ใช้งานได้ยาวนาน
การเลือกอุปกรณ์เสริมขึ้นอยู่กับลักษณะการใช้งานและความต้องการของแต่ละบุคคลค่ะ</t>
  </si>
  <si>
    <t>การเขียนชุดคำสั่งคืองานของด้วยพีเพิลแวร์คนไหน</t>
  </si>
  <si>
    <t>การเขียนชุดคำสั่ง หรือการเขียนโปรแกรม เป็นหน้าที่ของ โปรแกรมเมอร์ ค่ะ
โปรแกรมเมอร์คือบุคลากรประเภทหนึ่งในกลุ่ม "พีเพิลแวร์" ที่มีความรับผิดชอบในการออกแบบ พัฒนา และเขียนชุดคำสั่ง (Code) เพื่อให้คอมพิวเตอร์สามารถทำงานตามที่ผู้ใช้ต้องการได้ค่ะ</t>
  </si>
  <si>
    <t>อินเทอร์เน็ตที่ใช้ในองค์กรจะแตกต่างจากอินเทอร์เน็ตส่วนบุคคลในหลายด้านค่ะ
ความเร็วและความเสถียร: อินเทอร์เน็ตองค์กรโดยทั่วไปจะมีความเร็วสูงกว่าและเสถียรมากกว่า เพื่อรองรับการใช้งานของพนักงานจำนวนมากพร้อมกัน
ความปลอดภัย: มีการรักษาความปลอดภัยที่เข้มงวดกว่า เพื่อป้องกันการเข้าถึงข้อมูลที่ไม่ได้รับอนุญาตและการโจมตีทางไซเบอร์
การบริหารจัดการ: ผู้ให้บริการมักมีระบบการบริหารจัดการที่ช่วยให้องค์กรสามารถควบคุมการใช้งานและแก้ไขปัญหาได้อย่างรวดเร็ว
บริการเสริม: อาจมีบริการเสริมเฉพาะสำหรับองค์กร เช่น IP Address แบบคงที่ (Static IP) หรือการเชื่อมต่อ VPN เพื่อการเข้าถึงทรัพยากรภายในองค์กรอย่างปลอดภัย</t>
  </si>
  <si>
    <t>อินเทอร์เน็ตที่ใช้ในองค์กรมีลักษณะการให้บริการที่เน้นความน่าเชื่อถือ ประสิทธิภาพ และความปลอดภัยเป็นหลักค่ะ โดยทั่วไปจะมีการให้บริการดังนี้:
ความเร็วสูงและคงที่: ให้บริการอินเทอร์เน็ตที่มีความเร็วในการรับส่งข้อมูลสูงและมีความเสถียร เพื่อให้การทำงานของพนักงานเป็นไปอย่างราบรื่น
การเชื่อมต่อที่ปลอดภัย: มีการรักษาความปลอดภัยของเครือข่ายที่เข้มงวด เช่น การใช้ไฟร์วอลล์ (Firewall) หรือการเข้ารหัสข้อมูล เพื่อป้องกันภัยคุกคามทางไซเบอร์
การสนับสนุนทางเทคนิค: มีทีมสนับสนุนทางเทคนิคที่พร้อมให้ความช่วยเหลือเมื่อเกิดปัญหา เพื่อลดผลกระทบต่อการดำเนินธุรกิจ
การบริหารจัดการเครือข่าย: ผู้ให้บริการอาจมีเครื่องมือช่วยในการบริหารจัดการเครือข่ายขององค์กร เช่น การตรวจสอบประสิทธิภาพ หรือการตั้งค่าความปลอดภัย</t>
  </si>
  <si>
    <t>อยากเขียนแอปพลิเคชั่นแบบออนไลน์ใช้เซอร์วิสประเภทไหนดี</t>
  </si>
  <si>
    <t>การเลือกใช้บริการประเภทใดในการพัฒนาแอปพลิเคชันออนไลน์นั้น ขึ้นอยู่กับลักษณะและความต้องการของแอปพลิเคชันเป็นหลักค่ะ โดยทั่วไปแล้ว บริการคลาวด์คอมพิวติงที่นิยมใช้ในการพัฒนาแอปพลิเคชันออนไลน์มี 3 รูปแบบหลัก ดังนี้:
SaaS (Software as a Service): เป็นการใช้งานซอฟต์แวร์ผ่านอินเทอร์เน็ตโดยตรง โดยไม่ต้องติดตั้งหรือจัดการโครงสร้างพื้นฐานเอง เหมาะสำหรับแอปพลิเคชันที่ไม่ซับซ้อนมาก หรือต้องการใช้งานฟังก์ชันสำเร็จรูป เช่น Gmail, Google Docs
IaaS (Infrastructure as a Service): เป็นการเช่าโครงสร้างพื้นฐานทางคอมพิวเตอร์ เช่น เซิร์ฟเวอร์เสมือน (Virtual Servers), พื้นที่จัดเก็บข้อมูล, และเครือข่าย นักพัฒนาสามารถติดตั้งและจัดการระบบปฏิบัติการและซอฟต์แวร์ต่างๆ ได้เอง เหมาะสำหรับแอปพลิเคชันที่ต้องการความยืดหยุ่นสูงในการควบคุมสภาพแวดล้อม
PaaS (Platform as a Service): เป็นการให้บริการแพลตฟอร์มสำหรับการพัฒนาและปรับใช้แอปพลิเคชัน โดยรวมเอาโครงสร้างพื้นฐานและเครื่องมือที่จำเป็นสำหรับการพัฒนาไว้ให้แล้ว นักพัฒนาสามารถมุ่งเน้นไปที่การเขียนโค้ดและสร้างแอปพลิเคชันได้เลย โดยไม่ต้องกังวลเรื่องการจัดการเซิร์ฟเวอร์หรือระบบปฏิบัติการ เหมาะสำหรับแอปพลิเคชันที่ต้องการความรวดเร็วในการพัฒนาและปรับใช้
หากนักเรียนต้องการพัฒนาแอปพลิเคชันออนไลน์ที่ต้องการความยืดหยุ่นในการปรับแต่งและควบคุมระบบ PaaS มักจะเป็นตัวเลือกที่นิยมค่ะ เนื่องจากช่วยลดภาระในการจัดการโครงสร้างพื้นฐานได้มาก
นักเรียนสนใจพัฒนาแอปพลิเคชันประเภทใดเป็นพิเศษไหมคะ?</t>
  </si>
  <si>
    <t>หากต้องการใช้ซอฟต์แวร์ฟรีที่ถูกกฎหมายและสามารถแก้ไขโค้ดได้เอง แสดงว่านักเรียนกำลังมองหา ซอฟต์แวร์โอเพนซอร์ส (Open Source Software) ค่ะ
ซอฟต์แวร์โอเพนซอร์สมีลักษณะสำคัญคือ:
ถูกกฎหมาย: สามารถใช้งาน ดาวน์โหลด และเผยแพร่ได้ฟรีภายใต้เงื่อนไขของสัญญาอนุญาตโอเพนซอร์ส (Open Source License)
แก้ไขโค้ดได้: ซอร์สโค้ด (Source Code) เปิดเผยให้นักพัฒนาสามารถเข้าถึง ศึกษา และดัดแปลงแก้ไขได้ตามต้องการ
แหล่งที่นิยมในการค้นหาซอฟต์แวร์โอเพนซอร์ส ได้แก่:
GitHub: เป็นแพลตฟอร์มที่ใหญ่ที่สุดสำหรับการโฮสต์โปรเจกต์ซอฟต์แวร์โอเพนซอร์ส นักพัฒนาทั่วโลกนำโปรเจกต์ของตนเองมาเผยแพร่ที่นี่ นักสามารถค้นหาโปรเจกต์ที่สนใจและดูโค้ด รวมถึงมีส่วนร่วมในการพัฒนาได้
GitLab: เป็นอีกหนึ่งแพลตฟอร์มยอดนิยมสำหรับการจัดการซอร์สโค้ดและทำงานร่วมกันในโปรเจกต์โอเพนซอร์ส
SourceForge: เป็นแหล่งรวมซอฟต์แวร์โอเพนซอร์สที่มีมานาน มีโปรเจกต์หลากหลายประเภทให้เลือกดาวน์โหลด
เว็บไซต์ของโปรเจกต์โดยตรง: ซอฟต์แวร์โอเพนซอร์สหลายตัวจะมีเว็บไซต์ของตัวเอง ซึ่งมักจะมีส่วนให้ดาวน์โหลดซอฟต์แวร์และเข้าถึงซอร์สโค้ดได้โดยตรง เช่น เว็บไซต์ของ Linux, Apache, MySQL เป็นต้น
นักเรียนสนใจพัฒนาแอปพลิเคชันประเภทใดเป็นพิเศษคะ? ข้อมูลนี้จะช่วยให้แนะนำแหล่งที่เฉพาะเจาะจงมากขึ้นได้ค่ะ</t>
  </si>
  <si>
    <t>คอมพิวเตอร์ไม่สามารถทำงานได้หากไม่มีฮาร์ดแวร์ค่ะ
ฮาร์ดแวร์ (Hardware) คือส่วนประกอบทางกายภาพที่จับต้องได้ของคอมพิวเตอร์ เช่น CPU, RAM, เมนบอร์ด, ฮาร์ดดิสก์, จอภาพ, คีย์บอร์ด และเมาส์
ซอฟต์แวร์ (Software) คือชุดคำสั่งหรือโปรแกรมที่สั่งให้ฮาร์ดแวร์ทำงานตามที่ผู้ใช้ต้องการ
เปรียบเสมือนร่างกาย (ฮาร์ดแวร์) ที่ต้องมีสมอง (CPU) และส่วนประกอบอื่นๆ เพื่อให้สามารถคิดและเคลื่อนไหวได้ โดยมีจิตใจหรือคำสั่ง (ซอฟต์แวร์) เป็นตัวกำหนดว่าจะทำอะไรค่ะ หากไม่มีฮาร์ดแวร์ ก็จะไม่มีอุปกรณ์ใดๆ ให้ซอฟต์แวร์ทำงานได้เลยค่ะ</t>
  </si>
  <si>
    <t>การส่งข้อมูลข้ามประเทศถือเป็นส่วนหนึ่งของ เทคโนโลยีการสื่อสารและโทรคมนาคม (Telecommunications Technology) ค่ะ
เทคโนโลยีนี้เกี่ยวข้องกับการส่งและรับข้อมูลในรูปแบบต่างๆ ไม่ว่าจะเป็นเสียง ภาพ หรือข้อมูลดิจิทัล ผ่านช่องทางการสื่อสารที่หลากหลาย เช่น:
เครือข่ายอินเทอร์เน็ต: เป็นโครงสร้างพื้นฐานหลักที่ใช้ในการส่งข้อมูลข้ามประเทศทั่วโลก
สายเคเบิลใต้น้ำ: สายเคเบิลใยแก้วนำแสงที่เชื่อมต่อทวีปต่างๆ เข้าด้วยกัน
ดาวเทียมสื่อสาร: ใช้ในการส่งสัญญาณไปยังพื้นที่ที่เข้าถึงได้ยากด้วยสายเคเบิล
เครือข่ายโทรศัพท์เคลื่อนที่: รองรับการสื่อสารข้อมูลผ่านมือถือในระดับสากล
เทคโนโลยีเหล่านี้ทำงานร่วมกันเพื่อให้ข้อมูลสามารถเดินทางจากจุดหนึ่งไปยังอีกจุดหนึ่งบนโลกได้อย่างรวดเร็วและมีประสิทธิภาพค่ะ</t>
  </si>
  <si>
    <t>หากจดหมายที่เขียนค้างไว้ใน Gmail หายไป คุณสามารถค้นหาได้ที่ Drafts (ร่างจดหมาย) ค่ะ
เมื่อคุณเขียนอีเมลใน Gmail แต่ยังไม่ได้กดส่ง ระบบจะบันทึกอีเมลนั้นไว้ใน Drafts โดยอัตโนมัติ
คุณสามารถเข้าถึง Drafts ได้จากเมนูหลักทางด้านซ้ายมือของหน้าจอ Gmail
หากคุณไม่พบใน Drafts อาจเป็นไปได้ว่าคุณได้ลบไปแล้ว หรืออาจเกิดข้อผิดพลาดทางเทคนิค อย่างไรก็ตาม โดยทั่วไปแล้วอีเมลที่เขียนค้างไว้จะถูกเก็บไว้ที่นี่ค่ะ</t>
  </si>
  <si>
    <t>เมนู Taskbar ในระบบปฏิบัติการ Windows สามารถใช้ปรับแต่งการแสดงผลและพฤติกรรมต่างๆ ได้ดังนี้ค่ะ
ตำแหน่งของ Taskbar: คุณสามารถเลือกย้าย Taskbar ไปไว้ที่ด้านล่าง ด้านบน ด้านซ้าย หรือด้านขวาของหน้าจอได้
การแสดงผลไอคอน: สามารถตั้งค่าให้แสดงไอคอนโปรแกรมที่ใช้งานบ่อย (Quick Launch) หรือซ่อนไว้ได้
การรวมปุ่ม: สามารถกำหนดได้ว่าจะให้ปุ่มโปรแกรมที่เปิดหลายหน้าต่างแสดงแยกกัน หรือรวมเป็นปุ่มเดียว
แถบระบบ (System Tray): สามารถเลือกแสดงหรือซ่อนไอคอนต่างๆ ที่แสดงสถานะ เช่น นาฬิกา, ระดับเสียง, การเชื่อมต่อเครือข่าย
การค้นหา: สามารถปรับการแสดงผลของช่องค้นหาบน Taskbar ได้ เช่น แสดงเป็นไอคอน หรือแสดงเป็นช่องค้นหาเต็มรูปแบบ
การปรับแต่งเหล่านี้ช่วยให้คุณสามารถจัดระเบียบและใช้งานคอมพิวเตอร์ได้สะดวกและตรงกับความต้องการมากขึ้นค่ะ</t>
  </si>
  <si>
    <t>ไมโครโฟนคอนเด็นเซอร์ (Condenser) และไมโครโฟนไดนามิก (Dynamic) มีความแตกต่างกันในหลักการทำงานและลักษณะการใช้งาน ดังนี้ค่ะ
ไมโครโฟนคอนเด็นเซอร์:
หลักการทำงาน: ใช้แผ่นไดอะแฟรมบางๆ ที่เคลือบด้วยโลหะ วางอยู่ใกล้กับแผ่นโลหะอีกแผ่นหนึ่ง เมื่อคลื่นเสียงมากระทบแผ่นไดอะแฟรมจะสั่น ทำให้เกิดการเปลี่ยนแปลงของประจุไฟฟ้า ซึ่งต้องใช้แหล่งจ่ายไฟ (Phantom Power) เพื่อทำงาน
ลักษณะเด่น: มีความไวสูง สามารถเก็บรายละเอียดเสียงได้ดี ให้เสียงที่ใสและชัดเจน เหมาะสำหรับบันทึกเสียงร้อง, เครื่องดนตรีอะคูสติก, หรือการบันทึกเสียงในสตูดิโอ
ไมโครโฟนไดนามิก:
หลักการทำงาน: ใช้ขดลวดที่ติดอยู่กับแผ่นไดอะแฟรม วางอยู่ในสนามแม่เหล็ก เมื่อคลื่นเสียงมากระทบแผ่นไดอะแฟรมจะสั่น ทำให้ขดลวดเคลื่อนที่ตัดสนามแม่เหล็ก เกิดเป็นกระแสไฟฟ้าขึ้นมาโดยไม่ต้องใช้แหล่งจ่ายไฟภายนอก
ลักษณะเด่น: ทนทานต่อเสียงดังได้ดี ไม่ต้องการแหล่งจ่ายไฟ สามารถรับเสียงที่มีความดังสูงได้ เหมาะสำหรับบันทึกเสียงเครื่องดนตรีที่มีความดัง เช่น กีตาร์ไฟฟ้า, กลอง หรือใช้ในการแสดงสด
โดยสรุป ไมโครโฟนคอนเด็นเซอร์จะให้รายละเอียดเสียงที่ดีกว่าและต้องการไฟเลี้ยง แต่ไมโครโฟนไดนามิกจะทนทานและเหมาะกับเสียงดังค่ะ</t>
  </si>
  <si>
    <t>หากต้องการเรียงลำดับไฟล์จากชื่อต้องเลือกเรียงแบบไหน</t>
  </si>
  <si>
    <t>หากต้องการเรียงลำดับไฟล์ตามชื่อในระบบ Windows สามารถทำได้ดังนี้ค่ะ
เปิด File Explorer ไปยังโฟลเดอร์ที่มีไฟล์ที่ต้องการจัดเรียง
คลิกที่แท็บ View (มุมมอง) ด้านบน
ในกลุ่ม Current view (มุมมองปัจจุบัน) ให้มองหาเมนู Sort by (เรียงลำดับโดย)
เลือก Name (ชื่อ) จากรายการที่ปรากฏขึ้น
การเลือก "Name" จะเป็นการเรียงลำดับไฟล์ตามตัวอักษร ก-ฮ หรือ A-Z ค่ะ</t>
  </si>
  <si>
    <t>หากต้องการปรับแต่งให้เมนูและส่วนต่างๆ ของ Windows มีสีสันสดใสขึ้น สามารถปรับได้ที่เมนู Personalize (ปรับแต่งส่วนบุคคล) ค่ะ
ขั้นตอนมีดังนี้:
คลิกขวา บนพื้นที่ว่างบน Desktop (เดสก์ท็อป)
เลือก Personalize (ปรับแต่งส่วนบุคคล)
ในเมนูทางด้านซ้าย ให้เลือก Colors (สี)
คุณจะพบตัวเลือกต่างๆ เช่น:
Choose your color (เลือกสีของคุณ): สามารถเลือกโหมดเป็น Light (สว่าง) หรือ Dark (มืด) ได้ การเลือกโหมด Light มักจะให้ความรู้สึกที่สดใสกว่า
Choose your default app mode (เลือกโหมดแอปเริ่มต้นของคุณ): ตั้งค่าโหมดสีสำหรับแอปพลิเคชัน
Choose your default Windows mode (เลือกโหมด Windows เริ่มต้นของคุณ): ตั้งค่าโหมดสีสำหรับส่วนติดต่อผู้ใช้ของ Windows
Accent color (สีเน้น): คุณสามารถเลือกสีเน้นที่ต้องการให้ปรากฏบนแถบชื่อเรื่อง, ปุ่ม, และองค์ประกอบอื่นๆ ของ Windows ได้ การเลือกสีที่สดใสจะช่วยเพิ่มความสดใสให้กับเมนูโดยรวม
การปรับเปลี่ยนสีเหล่านี้จะช่วยให้หน้าจอและเมนูต่างๆ ดูมีชีวิตชีวาและสดใสมากขึ้นตามที่คุณต้องการค่ะ</t>
  </si>
  <si>
    <t>หากต้องการดูไฟล์ในโฟลเดอร์ Document (เอกสาร) สามารถทำได้ดังนี้ค่ะ
เปิด File Explorer (ตัวจัดการไฟล์) โดยคลิกที่ไอคอนรูปแฟ้มที่แถบ Taskbar หรือกดปุ่ม Windows + E บนคีย์บอร์ด
ในแถบเมนูด้านซ้ายของ File Explorer ให้มองหาและคลิกที่ Documents (เอกสาร)
เมื่อคลิกที่ "Documents" แล้ว ไฟล์และโฟลเดอร์ทั้งหมดที่จัดเก็บอยู่ในนั้นจะแสดงขึ้นมาในหน้าต่างหลัก ทำให้คุณสามารถเรียกดูและจัดการไฟล์เอกสารของคุณได้ค่ะ</t>
  </si>
  <si>
    <t>การสร้างโฟลเดอร์ใหม่ในระบบ Windows สามารถทำได้ง่ายๆ ดังนี้ค่ะ
เปิด File Explorer ไปยังตำแหน่งที่คุณต้องการสร้างโฟลเดอร์ใหม่ เช่น บน Desktop หรือในไดรฟ์อื่นๆ
คลิกขวา บนพื้นที่ว่างในหน้าต่าง File Explorer
ในเมนูที่ปรากฏขึ้น ให้เลือก New (ใหม่)
จากนั้นเลือก Folder (โฟลเดอร์)
จะปรากฏโฟลเดอร์ใหม่ที่มีชื่อ "New folder" (โฟลเดอร์ใหม่) พร้อมให้คุณพิมพ์ชื่อที่ต้องการตั้งชื่อโฟลเดอร์นั้นๆ ได้เลย เมื่อพิมพ์ชื่อเสร็จแล้ว ให้กด Enter
เท่านี้คุณก็จะได้โฟลเดอร์ใหม่พร้อมใช้งานแล้วค่ะ</t>
  </si>
  <si>
    <t>การใช้ AI ในการค้นหาข้อมูลนั้นมีหลายวิธีค่ะ โดยหลักการคือ AI จะช่วยประมวลผลและทำความเข้าใจคำถามของคุณ เพื่อให้ได้ผลลัพธ์ที่ตรงกับความต้องการมากขึ้น
ใช้เครื่องมือค้นหาที่ขับเคลื่อนด้วย AI:
เครื่องมือค้นหาอย่าง Google, Bing มีการนำ AI มาใช้เพื่อปรับปรุงผลการค้นหาให้มีความแม่นยำและเกี่ยวข้องกับบริบทของผู้ใช้มากขึ้น
คุณสามารถพิมพ์คำค้นหาตามปกติ หรือใช้ภาษาที่เป็นธรรมชาติมากขึ้น AI จะพยายามตีความเจตนาของคุณ
ใช้แชทบอท AI:
บริการอย่าง ChatGPT หรือ Google Bard (ปัจจุบันคือ Gemini) เป็นตัวอย่างของการใช้ AI เพื่อการสนทนาและค้นหาข้อมูล
คุณสามารถถามคำถามเป็นภาษาพูด หรืออธิบายรายละเอียดที่ต้องการ AI จะสรุปข้อมูลจากฐานความรู้ขนาดใหญ่และตอบคำถามของคุณในลักษณะการสนทนา ทำให้เข้าใจเรื่องที่ซับซ้อนได้ง่ายขึ้น
การค้นหาด้วยเสียงและภาพ:
บนอุปกรณ์เคลื่อนที่ คุณสามารถใช้การค้นหาด้วยเสียงโดยพูดคำถามผ่านไมโครโฟน หรือใช้การค้นหาด้วยภาพโดยใช้กล้องถ่ายรูปวัตถุ AI จะประมวลผลข้อมูลเสียงหรือภาพนั้นเพื่อค้นหาข้อมูลที่เกี่ยวข้อง
โดยสรุป AI ช่วยให้การค้นหาข้อมูลมีความฉลาดขึ้น สามารถเข้าใจภาษาที่เป็นธรรมชาติ และให้ผลลัพธ์ที่เจาะจงและตรงกับบริบทของผู้ใช้ได้ดียิ่งขึ้นค่ะ</t>
  </si>
  <si>
    <t>2.1.1.1 ความหมายของซอฟต์แวร์ระบบ</t>
  </si>
  <si>
    <t>1.1.1 ความหมายของคอมพิวเตอร์</t>
  </si>
  <si>
    <t>1.3.2.3.1 ซอฟต์แวร์ประยุกต์ทั่วไป</t>
  </si>
  <si>
    <t>1.2.2.1 ซุปเปอร์คอมพิวเตอร์</t>
  </si>
  <si>
    <t>2.2.3.2.1 ซีพียูสำหรับวินโดวส์ 11</t>
  </si>
  <si>
    <t>2.1.3.2.2 ระบบปฏิบัติการที่มีค่าลิขสิทธิ์</t>
  </si>
  <si>
    <t>2.2.2.3 รูปแบบ VL</t>
  </si>
  <si>
    <t>3.1.4.3 โดเมนเนมที่ใช้กำหนดประเภทขององค์กร</t>
  </si>
  <si>
    <t>3.1.2 วิธีการในการติดต่อบนระบบบอินเทอร์เน็ต</t>
  </si>
  <si>
    <t>2.1.2.4 ความสำคัญต่อการจัดสรรทรัพยากรในระบบ</t>
  </si>
  <si>
    <t>3.1.6.1 ความเร็วดาวน์โหลด</t>
  </si>
  <si>
    <t>1.3.2.1 ความหมายของซอฟต์แวร์</t>
  </si>
  <si>
    <t>2.4.1.4 Personalize</t>
  </si>
  <si>
    <t>2.3.2.1 ขั้นตอนการตรวจสอบผ่านไอคอน This PC บน Desktop</t>
  </si>
  <si>
    <t xml:space="preserve">3.2.6 ข้อสังเกตุของของการให้บริการคลาวด์ในอินเทอร์เน็ต </t>
  </si>
  <si>
    <t>2.3.1.3 ปุ่มสตาร์ท</t>
  </si>
  <si>
    <t>3.2.1 ความแตกต่างของบริการอินเทอร์เน็ตในยุคเก่าและยุคปัจจบัน</t>
  </si>
  <si>
    <t>1.3.1.2 อุปกรณ์ภายในตัวเครื่อง</t>
  </si>
  <si>
    <t>2.2.3.2.6 ไบออสสำหรับวินโดวส์ 11</t>
  </si>
  <si>
    <t>3.3.3.1.1 ขั้้นตอนการค้นหาข้อมูลด้วยเสียง</t>
  </si>
  <si>
    <t>3.6.2.1 ลักษณะการทำงานของ Youtube</t>
  </si>
  <si>
    <t>2.4.2.2.2 Size</t>
  </si>
  <si>
    <t>1.5.1.3 เครื่องพิมพ์อิงก์เจ็ต</t>
  </si>
  <si>
    <t>2.7.4.4 ขั้นตอนการเปลี่ยนชื่อไฟล์และโฟลเดอร์</t>
  </si>
  <si>
    <t>2.4.6.1.1 การปรับ Themes ของ Background</t>
  </si>
  <si>
    <t>1.6.1.4 แอปพลิเคชั่นบนระบบปฏิบัติการในอุปกรณ์เคลื่อนที่ android</t>
  </si>
  <si>
    <t>2.4.3.3 ปรับการวางแนวของจอภาพ</t>
  </si>
  <si>
    <t>3.6.3.3 ขั้นตอนการใช้งานแอปพลิเคชั่น Google Calendar บนอุปกรณ์เคลื่อนที่ระบบปฏิบัติการ ios</t>
  </si>
  <si>
    <t>3.3.1 ลักษณะการค้นหาแบบ Search Engine</t>
  </si>
  <si>
    <t>2.4.4.3 Lock Screen</t>
  </si>
  <si>
    <t>2.7.4.8 ขั้นตอนการลบไฟล์หรือโฟลเดอร์</t>
  </si>
  <si>
    <t>1.4.2.1 ท่านั่งทำงานกับคอมพิวเตอร์</t>
  </si>
  <si>
    <t>2.7.2.1 ขั้นตอนการแสดงข้อมูลในไดรฟ์ต่าง ๆ</t>
  </si>
  <si>
    <t>1.5.5.1 ลักษณะการทำงานของกล้องดิจิทัล</t>
  </si>
  <si>
    <t>3.4.2 ขั้นตอนการลงทะเบียนบัญชี google</t>
  </si>
  <si>
    <t>2.5.1.1 ขั้นตอนการปรับวันที่และเวลา</t>
  </si>
  <si>
    <t>3.5.3.2 ขั้นตอนการปรับแต่งให้แสดงเป็นภาษาไทย</t>
  </si>
  <si>
    <t>1.3.3.4 ผู้ดูแลระบบ</t>
  </si>
  <si>
    <t xml:space="preserve">ซุปเปอร์คอมพิวเตอร์คืออะไร </t>
  </si>
  <si>
    <t>ลิขสิทธิ์ Windows แบบ VL หมายถึงอะไร</t>
  </si>
  <si>
    <t>ข้อสังเกตุใช้บริการคลาวด์ต้องสังเกตอะไรบ้าง</t>
  </si>
  <si>
    <t>ขอขั้นตอนการค้นหาข้อมูลด้วยเสียง</t>
  </si>
  <si>
    <t>หลักการทำงานของระบบวิดีโอสตรีมมิ่ง YouTube คืออะไร</t>
  </si>
  <si>
    <t>ขั้นตอนการเปลี่ยนชื่อไฟล์ (Rename) มีอะไรบ้าง</t>
  </si>
  <si>
    <t>วิธีตั้งค่าการวางแนวของจอภาพ</t>
  </si>
  <si>
    <t>ขั้นตอนการลบไฟล์หรือโฟลเดอร์ (Delete) มีลำดับอย่างไร</t>
  </si>
  <si>
    <t>ขอขั้นตอนการสมัครบัญชี Google</t>
  </si>
  <si>
    <t>ขอขั้นตอนการปรับวันที่และเวลาในเครื่องคอมพิวเตอร์</t>
  </si>
  <si>
    <t>พวกซอฟแวระบบเนี่ยมันคือไรเหรอ</t>
  </si>
  <si>
    <t>อธิบายทีว่าคอมพิวเตอคืออะไรกันแน่</t>
  </si>
  <si>
    <t>ใช้ win11 ต้องใช้ cpu แบบไหนถึงจะรอด</t>
  </si>
  <si>
    <t>os ที่ต้องเสียตังซื้อมีอะไรบ้าง</t>
  </si>
  <si>
    <t>ทำไมต้องแบ่งทรัพยากรในเครื่องให้ดีด้วยล่ะ</t>
  </si>
  <si>
    <t>ซอฟต์แวร์ระบบ (System Software) คือชุดคำสั่งที่ทำหน้าที่ควบคุมและจัดการการทำงานของฮาร์ดแวร์คอมพิวเตอร์ เพื่อให้คอมพิวเตอร์สามารถทำงานได้อย่างมีประสิทธิภาพและเป็นตัวกลางระหว่างฮาร์ดแวร์กับซอฟต์แวร์ประยุกต์ค่ะ
หน้าที่หลักของซอฟต์แวร์ระบบ ได้แก่:
ควบคุมและจัดการฮาร์ดแวร์: เช่น การจัดการหน่วยความจำ, การประมวลผลของ CPU, การรับส่งข้อมูลผ่านอุปกรณ์ต่างๆ
เป็นตัวกลาง: เชื่อมต่อระหว่างผู้ใช้กับฮาร์ดแวร์ ทำให้ผู้ใช้สามารถสั่งงานคอมพิวเตอร์ได้ง่ายขึ้น
จัดการไฟล์และระบบ: ดูแลการจัดเก็บ การเรียกใช้ และการจัดการไฟล์และโฟลเดอร์ต่างๆ
ตัวอย่างที่สำคัญของซอฟต์แวร์ระบบคือ ระบบปฏิบัติการ (Operating System - OS) เช่น Windows, macOS, Linux ค่ะ</t>
  </si>
  <si>
    <t>คอมพิวเตอร์คืออุปกรณ์อิเล็กทรอนิกส์ที่ออกแบบมาเพื่อรับข้อมูล (Input) ประมวลผลข้อมูล (Process) ตามชุดคำสั่งที่กำหนด และแสดงผลลัพธ์ (Output) รวมถึงสามารถจัดเก็บข้อมูล (Storage) ได้ค่ะ
หลักการทำงานพื้นฐานของคอมพิวเตอร์จะเป็นไปตามวงจร Input → Process → Output → Storage โดยมีหน่วยประมวลผลกลาง (CPU) เป็นหัวใจหลักในการทำงานทั้งหมดค่ะ</t>
  </si>
  <si>
    <t>ระบบปฏิบัติการ (OS) ที่ต้องเสียค่าลิขสิทธิ์ในการใช้งาน มีดังนี้ค่ะ:
Microsoft Windows: เป็นระบบปฏิบัติการที่นิยมใช้กันอย่างแพร่หลายบนคอมพิวเตอร์ส่วนบุคคล มีหลายเวอร์ชัน เช่น Windows 10, Windows 11 ซึ่งต้องซื้อสิทธิ์การใช้งาน
macOS: ระบบปฏิบัติการสำหรับผลิตภัณฑ์ของ Apple เช่น MacBook, iMac โดยทั่วไปจะมาพร้อมกับเครื่องอยู่แล้ว แต่หากต้องการติดตั้งบนฮาร์ดแวร์อื่น จะมีข้อจำกัดและอาจมีค่าใช้จ่าย
ระบบปฏิบัติการเหล่านี้มีรูปแบบใบอนุญาตที่แตกต่างกันไป เช่น การซื้อขาด การเช่าใช้ หรือการซื้อแบบ Volume Licensing สำหรับองค์กรค่ะ</t>
  </si>
  <si>
    <t>การแบ่งสรรทรัพยากรในเครื่องคอมพิวเตอร์ให้เหมาะสมมีความสำคัญอย่างยิ่งค่ะ เนื่องจาก:
ประสิทธิภาพการทำงาน: ระบบปฏิบัติการจะจัดสรรหน่วยความจำ (RAM) และหน่วยประมวลผลกลาง (CPU) ให้กับโปรแกรมต่างๆ อย่างเหมาะสม ทำให้โปรแกรมทำงานได้อย่างราบรื่น ไม่ติดขัด
ความเสถียรของระบบ: หากโปรแกรมใดโปรแกรมหนึ่งใช้ทรัพยากรมากเกินไป อาจส่งผลกระทบต่อโปรแกรมอื่นและทำให้ระบบโดยรวมไม่เสถียร หรือเกิดอาการค้างได้
การทำงานหลายโปรแกรมพร้อมกัน: การแบ่งสรรทรัพยากรที่ดีช่วยให้สามารถเปิดและใช้งานหลายโปรแกรมพร้อมกันได้อย่างมีประสิทธิภาพ โดยแต่ละโปรแกรมจะได้รับส่วนแบ่งทรัพยากรที่เพียงพอต่อการทำงาน
ดังนั้น การที่ระบบปฏิบัติการจัดการและแบ่งสรรทรัพยากรอย่างมีประสิทธิภาพ จึงเป็นหัวใจสำคัญที่ทำให้คอมพิวเตอร์ทำงานได้อย่างราบรื่นและเสถียรค่ะ</t>
  </si>
  <si>
    <t>เน็ตโหลดไวแค่ไหนดูตรงไหน</t>
  </si>
  <si>
    <t>พวกซอฟแวร์มันคืออะไรกันแน่</t>
  </si>
  <si>
    <t>ซอฟต์แวร์ คือ ชุดคำสั่งหรือโปรแกรมที่ถูกสร้างขึ้นเพื่อสั่งให้คอมพิวเตอร์ทำงานตามที่ผู้ใช้ต้องการค่ะ
หน้าที่หลัก: ซอฟต์แวร์ทำหน้าที่เป็นตัวกลางระหว่างฮาร์ดแวร์ (ส่วนประกอบที่จับต้องได้ของคอมพิวเตอร์) และผู้ใช้ ทำให้เราสามารถใช้งานคอมพิวเตอร์เพื่อทำงานต่างๆ ได้
ประเภทของซอฟต์แวร์:
ซอฟต์แวร์ระบบ (System Software): ทำหน้าที่ควบคุมและจัดการฮาร์ดแวร์ เช่น ระบบปฏิบัติการ (Windows, macOS, Linux) และโปรแกรมอรรถประโยชน์ (Antivirus)
ซอฟต์แวร์ประยุกต์ (Application Software): ใช้สำหรับทำงานเฉพาะด้าน เช่น โปรแกรมประมวลผลคำ (Word), โปรแกรมตารางคำนวณ (Excel), โปรแกรมตกแต่งภาพ (Photoshop) หรือโปรแกรมสำหรับเล่นเกม
หากไม่มีซอฟต์แวร์ คอมพิวเตอร์ที่เป็นเพียงฮาร์ดแวร์ก็จะไม่สามารถทำงานใดๆ ได้เลยค่ะ</t>
  </si>
  <si>
    <t>อยากแต่งหน้าจอคอมให้สวยๆ ต้องเข้าที่ไหน</t>
  </si>
  <si>
    <t>การปรับแต่งหน้าจอคอมพิวเตอร์ให้สวยงาม สามารถทำได้ผ่านเมนู Personalize ในระบบปฏิบัติการ Windows ค่ะ
การเข้าถึง: โดยทั่วไป คุณสามารถเข้าถึงเมนูนี้ได้โดยการคลิกขวาที่พื้นที่ว่างบนหน้าจอ Desktop แล้วเลือก "Personalize"
การปรับแต่ง: ภายในเมนู Personalize คุณสามารถปรับแต่งองค์ประกอบต่างๆ ได้ดังนี้:
Background: เปลี่ยนภาพพื้นหลัง (Wallpaper) เป็นรูปภาพ สีพื้น หรือสไลด์โชว์
Colors: เลือกสีหลักของระบบ ปรับโหมดเป็นแบบสว่าง (Light) หรือมืด (Dark) และเลือกสีเน้น (Accent color)
Lock Screen: กำหนดภาพพื้นหลังสำหรับหน้าจอล็อก และเลือกแอปที่ต้องการแสดงสถานะ
Themes: เลือกและปรับแต่งชุดรูปแบบการใช้งานโดยรวม เช่น ภาพพื้นหลัง สี เสียง และลักษณะของเมาส์
Desktop Icon Settings: กำหนดว่าจะแสดงไอคอนหลักใดบ้างบนหน้าจอ เช่น This PC, Recycle Bin
นอกจากนี้ คุณยังสามารถปรับแต่งการแสดงผลอื่นๆ ได้ เช่น ขนาดไอคอน หรือการจัดเรียงไอคอน ผ่านเมนู View บนหน้าจอ Desktop หรือการปรับความละเอียดหน้าจอผ่าน Display Settings ค่ะ</t>
  </si>
  <si>
    <t>การตรวจสอบเวอร์ชันของระบบปฏิบัติการ Windows ผ่านไอคอน This PC สามารถทำได้ดังนี้ค่ะ
คลิกขวา ที่ไอคอน This PC บนหน้าจอ Desktop
เลือกเมนู Properties
ในหน้าต่างที่ปรากฏขึ้น คุณจะเห็นข้อมูลเกี่ยวกับระบบ ซึ่งจะแสดงรายละเอียดต่างๆ เช่น:
Edition: รุ่นของ Windows (เช่น Windows 10 Home, Windows 11 Pro)
Version: หมายเลขเวอร์ชันของ Windows
System type: ประเภทของระบบ (32-bit หรือ 64-bit)
ข้อมูลเกี่ยวกับ CPU และ RAM ที่ติดตั้งในเครื่อง
ข้อมูลเหล่านี้จะช่วยให้คุณทราบเวอร์ชันของ Windows ที่กำลังใช้งานอยู่ค่ะ</t>
  </si>
  <si>
    <t>อินเทอร์เน็ตในยุคก่อนและยุคปัจจุบันมีความแตกต่างกันอย่างชัดเจนในหลายด้านค่ะ
ยุคก่อน:
เน้นการสื่อสารข้อความ: การใช้งานหลักคือการส่งอีเมล การสนทนาผ่านโปรแกรมแชตแบบข้อความ และการเข้าถึงเว็บไซต์ที่มีข้อมูลเป็นตัวอักษ์เป็นส่วนใหญ่
ความเร็วต่ำ: การเชื่อมต่ออินเทอร์เน็ตมีความเร็วต่ำ ทำให้การดาวน์โหลดไฟล์ขนาดใหญ่หรือการดูวิดีโอเป็นไปได้ยากหรือไม่สะดวก
การเข้าถึงจำกัด: การใช้งานอินเทอร์เน็ตยังไม่แพร่หลายเท่าปัจจุบัน การเข้าถึงอาจต้องผ่าน Dial-up หรือการเชื่อมต่อที่ไม่สะดวกนัก
ยุคปัจจุบัน:
เน้นมัลติมีเดียและบริการหลากหลาย: การใช้งานครอบคลุมการดูวิดีโอความละเอียดสูง การสตรีมเพลง การเล่นเกมออนไลน์ การทำงานร่วมกันผ่านคลาวด์ และการใช้งานแอปพลิเคชันต่างๆ
ความเร็วสูง: เทคโนโลยีการเชื่อมต่อ เช่น ไฟเบอร์ออปติก ทำให้มีความเร็วในการรับส่งข้อมูลสูงมาก
การเข้าถึงแพร่หลาย: อินเทอร์เน็ตกลายเป็นส่วนสำคัญในชีวิตประจำวัน สามารถเข้าถึงได้ผ่านอุปกรณ์หลากหลาย เช่น สมาร์ทโฟน แท็บเล็ต และคอมพิวเตอร์
เทคโนโลยีคลาวด์และ IoT: มีการนำเทคโนโลยีคลาวด์มาใช้ในการจัดเก็บและประมวลผลข้อมูล และการเชื่อมต่ออุปกรณ์ Internet of Things (IoT) เข้ากับอินเทอร์เน็ต
โดยสรุป อินเทอร์เน็ตได้พัฒนาจากการเป็นเครื่องมือสื่อสารข้อความพื้นฐาน ไปสู่แพลตฟอร์มที่รองรับการใช้งานที่ซับซ้อนและหลากหลายมากขึ้นในปัจจุบันค่ะ</t>
  </si>
  <si>
    <t>สำหรับ Windows 11 นั้น ข้อกำหนดทางฮาร์ดแวร์ที่สำคัญคือ UEFI และ Secure Boot ค่ะ
UEFI (Unified Extensible Firmware Interface): เป็นเฟิร์มแวร์ที่ทันสมัยกว่า BIOS แบบเก่า ทำหน้าที่เริ่มต้นระบบและโหลดระบบปฏิบัติการ UEFI มีความสามารถในการจัดการพาร์ติชันดิสก์ขนาดใหญ่ขึ้น และมีกระบวนการบูตที่ปลอดภัยกว่า
Secure Boot: เป็นคุณสมบัติความปลอดภัยที่ทำงานร่วมกับ UEFI เพื่อป้องกันไม่ให้มัลแวร์หรือซอฟต์แวร์ที่ไม่ได้รับอนุญาตเข้ามาแทรกแซงกระบวนการบูตของระบบปฏิบัติการ
ดังนั้น หากต้องการติดตั้ง Windows 11 เมนบอร์ดของคอมพิวเตอร์จะต้องรองรับ UEFI และเปิดใช้งาน Secure Boot ค่ะ โดยทั่วไปแล้ว เมนบอร์ดที่ผลิตในช่วงไม่กี่ปีที่ผ่านมามักจะรองรับคุณสมบัติเหล่านี้ค่ะ</t>
  </si>
  <si>
    <t>การปรับแต่ง Themes ของ Background ในระบบปฏิบัติการ Windows สามารถทำได้ดังนี้ค่ะ
คลิกขวาที่ Desktop: คลิกขวาที่พื้นที่ว่างบนหน้าจอ Desktop
เลือก Personalize: จากเมนูที่ปรากฏขึ้นมา ให้เลือก "Personalize" (ปรับแต่ง)
เลือก Background: ในหน้าต่าง Personalization ที่เปิดขึ้นมา ให้เลือกเมนู "Background" (พื้นหลัง) ทางด้านซ้ายมือ
เลือกรูปแบบ: คุณสามารถเลือกรูปแบบพื้นหลังได้ 3 แบบ คือ
Picture (รูปภาพ): เลือกรูปภาพที่ต้องการจากในเครื่อง หรือจากรูปภาพที่ Windows มีให้
Solid color (สีพื้น): เลือกสีทึบสีเดียวเป็นพื้นหลัง
Slide show (สไลด์โชว์): เลือกโฟลเดอร์ที่มีรูปภาพหลายๆ รูป Windows จะสลับรูปภาพเหล่านั้นเป็นพื้นหลังตามช่วงเวลาที่กำหนด
หากต้องการปรับแต่ง Themes โดยรวม ซึ่งจะรวมถึงภาพพื้นหลัง สี และเสียงต่างๆ ให้ทำตามขั้นตอนดังนี้ค่ะ</t>
  </si>
  <si>
    <t>การเปิดดูข้อมูลในไดรฟ์ต่างๆ ในระบบปฏิบัติการ Windows สามารถทำได้ง่ายๆ ดังนี้ค่ะ
ขั้นตอนการเปิดดูข้อมูลในไดรฟ์ต่างๆ:
เปิด File Explorer: คุณสามารถเปิด File Explorer ได้หลายวิธี เช่น
คลิกที่ไอคอนรูปแฟ้มสีเหลืองที่แถบ Taskbar
กดปุ่ม Windows + E บนคีย์บอร์ดพร้อมกัน
เลือก "This PC": ในหน้าต่าง File Explorer ที่เปิดขึ้นมา ให้มองหาและคลิกที่ "This PC" (คอมพิวเตอร์เครื่องนี้) ในแถบเมนูด้านซ้ายมือ
ดูรายการไดรฟ์: คุณจะเห็นรายการไดรฟ์ทั้งหมดที่มีอยู่ในเครื่องคอมพิวเตอร์ของคุณ ซึ่งโดยทั่วไปจะประกอบด้วย:
ไดรฟ์ C: มักจะเป็นไดรฟ์หลักที่ใช้ติดตั้งระบบปฏิบัติการ Windows และโปรแกรมต่างๆ
ไดรฟ์ D, E, F (หรืออื่นๆ): เป็นไดรฟ์เพิ่มเติมที่อาจถูกแบ่งไว้เพื่อเก็บข้อมูลส่วนตัว ไฟล์งาน หรือใช้สำหรับติดตั้งโปรแกรมอื่นๆ
เปิดไดรฟ์ที่ต้องการ: ดับเบิลคลิกที่ไอคอนของไดรฟ์ที่คุณต้องการเปิดดูข้อมูล ระบบจะแสดงรายการไฟล์และโฟลเดอร์ทั้งหมดที่อยู่ในไดรฟ์นั้น
ประเภทของการแสดงรายการไฟล์:
เมื่อคุณเปิดไดรฟ์หรือโฟลเดอร์ใดๆ ใน File Explorer คุณสามารถเลือกรูปแบบการแสดงผลรายการไฟล์และโฟลเดอร์ได้ตามความสะดวก โดยมีขั้นตอนดังนี้ค่ะ
คลิกเมนู "View": ใน File Explorer ให้คลิกที่เมนู "View" (มุมมอง) ที่อยู่ด้านบน
เลือกรูปแบบการแสดงผล: คุณจะเห็นตัวเลือกต่างๆ สำหรับการแสดงผล เช่น:
Extra large icons, Large icons, Medium icons, Small icons: แสดงผลเป็นไอคอน โดยมีขนาดแตกต่างกันไป
List: แสดงผลเป็นรายการแบบง่ายๆ
Details: แสดงผลเป็นรายการพร้อมรายละเอียด เช่น ชื่อไฟล์, วันที่แก้ไข, ประเภท, และขนาดไฟล์ ซึ่งเป็นรูปแบบที่นิยมใช้มากที่สุดสำหรับการจัดการไฟล์
Content: แสดงผลเป็นรายการพร้อมรูปตัวอย่างของไฟล์ (สำหรับไฟล์บางประเภท)
คุณสามารถเลือกรูปแบบการแสดงผลที่เหมาะสมกับความต้องการของคุณได้เลยค่ะ</t>
  </si>
  <si>
    <t>หากต้องการให้ Gmail แสดงผลเป็นภาษาไทย สามารถตั้งค่าได้ง่ายๆ ตามขั้นตอนดังนี้ค่ะ
เข้าสู่ระบบ Gmail: เปิดเว็บเบราว์เซอร์แล้วไปที่ www.gmail.com จากนั้นลงชื่อเข้าใช้บัญชี Google ของคุณ
คลิกไอคอนรูปเฟือง (การตั้งค่า): ที่มุมขวาบนของหน้าจอ Gmail จะมีไอคอนรูปเฟือง ให้คลิกที่ไอคอนนั้น
เลือก "See all settings" (ดูการตั้งค่าทั้งหมด): จากเมนูที่ปรากฏขึ้นมา ให้เลือกตัวเลือก "See all settings"
ไปที่แท็บ "General" (ทั่วไป): ในหน้าการตั้งค่าที่เปิดขึ้นมา ให้คลิกที่แท็บ "General" ซึ่งมักจะเป็นแท็บแรกที่แสดงขึ้นมา
เลือกภาษาไทย: เลื่อนลงมาที่หัวข้อ "Language" (ภาษา) แล้วคลิกที่เมนูแบบเลื่อนลง (dropdown menu) จากนั้นเลือก "ภาษาไทย"
บันทึกการเปลี่ยนแปลง: เลื่อนลงไปที่ด้านล่างสุดของหน้า แล้วคลิกปุ่ม "Save Changes" (บันทึกการเปลี่ยนแปลง)
หลังจากบันทึกการเปลี่ยนแปลงแล้ว หน้า Gmail ของคุณจะรีเฟรชและแสดงผลเป็นภาษาไทยทันทีค่ะ</t>
  </si>
  <si>
    <t>ผู้ดูแลระบบ (System Administrator หรือ SysAdmin) มีหน้าที่รับผิดชอบในการดูแลรักษาและจัดการระบบคอมพิวเตอร์และเครือข่ายขององค์กรให้ทำงานได้อย่างราบรื่น ปลอดภัย และมีประสิทธิภาพค่ะ
งานหลักๆ ของผู้ดูแลระบบประกอบด้วย:
การติดตั้งและกำหนดค่าระบบ: ติดตั้งระบบปฏิบัติการ ซอฟต์แวร์ และฮาร์ดแวร์ต่างๆ รวมถึงการตั้งค่าให้พร้อมใช้งาน
การบำรุงรักษาระบบ: ตรวจสอบประสิทธิภาพของระบบ แก้ไขปัญหาที่เกิดขึ้น และอัปเดตซอฟต์แวร์หรือแพตช์ความปลอดภัยอย่างสม่ำเสมอ
การจัดการผู้ใช้งาน: สร้างบัญชีผู้ใช้ กำหนดสิทธิ์การเข้าถึงทรัพยากรต่างๆ และจัดการรหัสผ่าน
การสำรองข้อมูลและกู้คืน: วางแผนและดำเนินการสำรองข้อมูลอย่างสม่ำเสมอ เพื่อให้สามารถกู้คืนข้อมูลได้ในกรณีที่เกิดความเสียหาย
การรักษาความปลอดภัย: ติดตั้งและดูแลระบบรักษาความปลอดภัย เช่น ไฟร์วอลล์ โปรแกรมป้องกันไวรัส และตรวจสอบการเข้าถึงระบบที่ผิดปกติ
การจัดการเครือข่าย: ดูแลระบบเครือข่ายให้เชื่อมต่อกันได้อย่างราบรื่น รวมถึงการแก้ไขปัญหาการเชื่อมต่อ
การให้ความช่วยเหลือแก่ผู้ใช้งาน: แก้ไขปัญหาที่ผู้ใช้งานพบเจอเกี่ยวกับการใช้งานคอมพิวเตอร์และระบบต่างๆ
โดยสรุป ผู้ดูแลระบบเป็นบุคลากรสำคัญที่ทำให้ระบบเทคโนโลยีสารสนเทศขององค์กรสามารถทำงานได้อย่างต่อเนื่องและปลอดภัยค่ะ</t>
  </si>
  <si>
    <t>จะหาของในเน็ตแบบพวกกูเกิลเนี่ยมันมีหลักการยังไงเหรอ</t>
  </si>
  <si>
    <t>การค้นหาข้อมูลบนอินเทอร์เน็ตด้วยเครื่องมืออย่าง Google มีหลักการทำงานที่ซับซ้อน แต่สามารถอธิบายให้เข้าใจง่ายๆ ได้ดังนี้ค่ะ
หลักการทำงานของการค้นหาข้อมูลบน Google:
การรวบรวมข้อมูล (Crawling): Google ใช้โปรแกรมที่เรียกว่า "บอท" (Bots) หรือ "สไปเดอร์" (Spiders) เพื่อสำรวจเว็บไซต์ต่างๆ ทั่วอินเทอร์เน็ตอย่างต่อเนื่อง บอทเหล่านี้จะติดตามลิงก์จากหน้าหนึ่งไปยังอีกหน้าหนึ่ง เพื่อค้นหาและรวบรวมข้อมูลจากเว็บไซต์เหล่านั้น
การจัดทำดัชนี (Indexing): ข้อมูลที่บอทรวบรวมมาได้จะถูกนำไปประมวลผลและจัดเก็บไว้ในฐานข้อมูลขนาดใหญ่ของ Google ที่เรียกว่า "ดัชนี" (Index) การจัดทำดัชนีนี้จะช่วยให้ Google สามารถค้นหาข้อมูลที่เกี่ยวข้องได้อย่างรวดเร็วเมื่อมีผู้ใช้งานค้นหา
การจัดอันดับผลการค้นหา (Ranking): เมื่อคุณพิมพ์คำค้นหาลงใน Google ระบบจะทำการค้นหาข้อมูลที่ตรงกับคำค้นหาของคุณในดัชนี จากนั้นจะใช้อัลกอริทึมที่ซับซ้อนเพื่อจัดอันดับผลการค้นหา โดยพิจารณาจากปัจจัยต่างๆ เช่น:
ความเกี่ยวข้องของเนื้อหา: เนื้อหาของเว็บไซต์ตรงกับคำค้นหาของคุณมากน้อยเพียงใด
คุณภาพของเนื้อหา: เนื้อหามีประโยชน์ น่าเชื่อถือ และเขียนได้ดีหรือไม่
ความนิยมของเว็บไซต์: เว็บไซต์นั้นมีลิงก์จากเว็บไซต์อื่นจำนวนมากหรือไม่ (บ่งบอกถึงความน่าเชื่อถือ)
ประสบการณ์ของผู้ใช้: เว็บไซต์โหลดเร็ว ใช้งานง่าย และแสดงผลบนอุปกรณ์ต่างๆ ได้ดีหรือไม่
ตำแหน่งที่ตั้งของผู้ใช้: บางครั้งการค้นหาอาจคำนึงถึงตำแหน่งที่ตั้งของคุณเพื่อแสดงผลลัพธ์ที่เกี่ยวข้องในพื้นที่ของคุณ
การแสดงผลลัพธ์: สุดท้าย Google จะแสดงผลลัพธ์การค้นหาที่จัดอันดับแล้วให้คุณเห็น โดยผลลัพธ์ที่เกี่ยวข้องและมีคุณภาพสูงสุดจะแสดงอยู่ด้านบนสุดค่ะ
นอกจากนี้ ยังมีเทคนิคการค้นหาเพิ่มเติมที่ช่วยให้คุณได้ผลลัพธ์ที่ตรงใจมากขึ้น เช่น การใช้เครื่องหมายคำพูด ("...") เพื่อค้นหาคำหรือวลีที่เจาะจง หรือการใช้เครื่องหมายลบ (-) เพื่อยกเว้นคำบางคำจากการค้นหาค่ะ</t>
  </si>
  <si>
    <t>เวลาที่ไม่ได้ใช้คอมพักนึง ทำไมมันมีหน้าจอขึ้นมา</t>
  </si>
  <si>
    <t>หน้าจอที่ปรากฏขึ้นเมื่อคุณไม่ได้ใช้งานคอมพิวเตอร์มาระยะหนึ่งนั้น คือ หน้าจอล็อค (Lock Screen) และ โปรแกรมถนอมจอภาพ (Screen Saver) ค่ะ
ทั้งสองอย่างนี้มีวัตถุประสงค์หลักเพื่อ:
ความปลอดภัย:
หน้าจอล็อค: ป้องกันไม่ให้ผู้อื่นเข้าถึงข้อมูลส่วนตัวของคุณได้โดยไม่ได้รับอนุญาต หากคุณลุกออกจากคอมพิวเตอร์ไปชั่วคราว หน้าจอล็อคจะทำงานเพื่อรักษาความปลอดภัยของข้อมูล
โปรแกรมถนอมจอภาพ: ในอดีต หน้าจอ CRT มีความเสี่ยงที่จะเกิด "ภาพติดจอ" (Burn-in) หากแสดงภาพเดิมเป็นเวลานาน โปรแกรมถนอมจอภาพจะช่วยป้องกันปัญหานี้โดยการแสดงภาพเคลื่อนไหวหรือเปลี่ยนหน้าจอไปเรื่อยๆ แม้ว่าในปัจจุบันหน้าจอ LCD/LED จะมีความเสี่ยงน้อยกว่า แต่ก็ยังคงมีประโยชน์ในการป้องกันการแสดงผลภาพนิ่งเป็นเวลานานเกินไป
การประหยัดพลังงาน:
เมื่อหน้าจอล็อคหรือโปรแกรมถนอมจอภาพทำงาน คอมพิวเตอร์อาจเข้าสู่โหมดประหยัดพลังงาน โดยลดการใช้พลังงานของหน้าจอหรือส่วนประกอบอื่นๆ ที่ไม่จำเป็น
การแสดงข้อมูล (สำหรับหน้าจอล็อค):
หน้าจอล็อคสามารถตั้งค่าให้แสดงข้อมูลบางอย่าง เช่น วันที่ เวลา หรือการแจ้งเตือนจากแอปพลิเคชันต่างๆ ได้
หากคุณต้องการกลับมาใช้งานคอมพิวเตอร์ คุณจะต้องทำการปลดล็อคหน้าจอ ซึ่งอาจต้องใช้รหัสผ่าน, PIN, หรือการดำเนินการอื่นๆ ที่คุณตั้งค่าไว้ค่ะ</t>
  </si>
  <si>
    <t>ซอฟต์แวร์ประยุกต์สำหรับงานทั่วไปมีอะไรบ้าง</t>
  </si>
  <si>
    <t>ซอฟต์แวร์ประยุกต์สำหรับงานทั่วไป (General Purpose Software) คือโปรแกรมที่ถูกออกแบบมาเพื่อตอบสนองความต้องการที่หลากหลายของผู้ใช้งานทั่วไป โดยสามารถนำไปใช้ได้กับงานหลายประเภทค่ะ
ซอฟต์แวร์ประยุกต์สำหรับงานทั่วไปที่นิยมใช้งานมีดังนี้ค่ะ:
โปรแกรมประมวลผลคำ (Word Processing Software): ใช้สำหรับสร้าง แก้ไข และจัดรูปแบบเอกสารข้อความ เช่น Microsoft Word หรือ Google Docs
โปรแกรมตารางคำนวณ (Spreadsheet Software): ใช้สำหรับคำนวณ วิเคราะห์ข้อมูล และสร้างกราฟ เช่น Microsoft Excel หรือ Google Sheets
โปรแกรมนำเสนอ (Presentation Software): ใช้สำหรับสร้างสไลด์เพื่อนำเสนอข้อมูล เช่น Microsoft PowerPoint หรือ Canva
โปรแกรมสื่อสาร (Communication Software): ใช้สำหรับการติดต่อสื่อสาร เช่น โปรแกรมอีเมล (Gmail), โปรแกรมแชท (LINE), หรือโปรแกรมประชุมออนไลน์ (Zoom)
นักเรียนต้องการทราบรายละเอียดเพิ่มเติมเกี่ยวกับซอฟต์แวร์ประเภทใดเป็นพิเศษไหมคะ?</t>
  </si>
  <si>
    <t>ซุปเปอร์คอมพิวเตอร์ (Supercomputer) คือคอมพิวเตอร์ที่มีสมรรถนะสูงที่สุดในโลก มีความสามารถในการประมวลผลข้อมูลจำนวนมหาศาลได้อย่างรวดเร็วค่ะ
ลักษณะสำคัญของซุปเปอร์คอมพิวเตอร์ ได้แก่:
ความเร็วในการประมวลผลสูงมาก: สามารถคำนวณและประมวลผลข้อมูลที่ซับซ้อนได้อย่างรวดเร็วเมื่อเทียบกับคอมพิวเตอร์ทั่วไป
การใช้งานเฉพาะทาง: มักถูกใช้ในงานวิจัยทางวิทยาศาสตร์ การจำลองสถานการณ์ที่ซับซ้อน การวิเคราะห์ข้อมูลขนาดใหญ่ เช่น การพยากรณ์อากาศ การวิจัยทางการแพทย์ การจำลองการชนของยานอวกาศ หรือการถอดรหัส
ขนาดและต้นทุนสูง: โดยทั่วไปมีขนาดใหญ่และมีราคาสูงมาก จึงมักใช้งานในสถาบันวิจัย หน่วยงานรัฐบาล หรือองค์กรขนาดใหญ่
ซุปเปอร์คอมพิวเตอร์เป็นเครื่องมือสำคัญที่ช่วยผลักดันขีดจำกัดทางวิทยาศาสตร์และเทคโนโลยีค่ะ</t>
  </si>
  <si>
    <t>ลิขสิทธิ์ Windows แบบ VL (Volume Licensing) คือรูปแบบการอนุญาตให้ใช้สิทธิ์ซอฟต์แวร์ Microsoft Windows สำหรับองค์กรที่ต้องการใช้งานคอมพิวเตอร์จำนวนมากค่ะ
ลักษณะสำคัญของลิขสิทธิ์แบบ VL มีดังนี้:
การใช้งานในองค์กร: เหมาะสำหรับบริษัท ห้างร้าน หรือสถานศึกษา ที่ต้องการติดตั้งและใช้งาน Windows บนคอมพิวเตอร์หลายเครื่อง
จำนวนสิทธิ์ที่ซื้อ: สามารถซื้อสิทธิ์การใช้งานได้ตามจำนวนเครื่องที่ต้องการ ทำให้บริหารจัดการลิขสิทธิ์ได้ง่ายขึ้น
ความคุ้มค่า: โดยทั่วไปมีราคาต่อหน่วยที่ถูกกว่าการซื้อลิขสิทธิ์แบบ FPP (Full Package Product) สำหรับการใช้งานจำนวนมาก
การบริหารจัดการ: ช่วยให้การบริหารจัดการลิขสิทธิ์ภายในองค์กรทำได้สะดวกและมีประสิทธิภาพ
ลิขสิทธิ์แบบ VL ช่วยให้องค์กรสามารถควบคุมและจัดการการใช้งานซอฟต์แวร์ได้อย่างเป็นระบบและคุ้มค่าค่ะ</t>
  </si>
  <si>
    <t>โดเมนเนมที่บอกประเภทองค์กร เช่น .edu หรือ .org เรียกว่า นามสกุลโดเมนระดับบนสุด (Top-Level Domain - TLD) ค่ะ
นามสกุลเหล่านี้ใช้เพื่อบ่งบอกถึงลักษณะหรือประเภทขององค์กรที่จดทะเบียนโดเมนนั้นๆ โดยมีความหมายดังนี้:
.edu (Education): ใช้สำหรับสถาบันการศึกษา เช่น มหาวิทยาลัย หรือวิทยาลัย
.org (Organization): ใช้สำหรับองค์กรที่ไม่แสวงหาผลกำไร หรือองค์กรสาธารณะต่างๆ เช่น มูลนิธิ หรือสมาคม
การมีนามสกุลโดเมนเหล่านี้ช่วยให้ผู้ใช้งานอินเทอร์เน็ตสามารถคาดเดาประเภทของเว็บไซต์ได้เบื้องต้น และช่วยในการจัดระเบียบของข้อมูลบนอินเทอร์เน็ตค่ะ</t>
  </si>
  <si>
    <t>ข้อสังเกตที่ควรพิจารณาเมื่อใช้บริการคลาวด์ มีดังนี้ค่ะ:
ความปลอดภัย (Security): ควรตรวจสอบมาตรการรักษาความปลอดภัยของผู้ให้บริการคลาวด์ ว่ามีระบบป้องกันข้อมูลที่แข็งแกร่งเพียงพอหรือไม่ เช่น การเข้ารหัสข้อมูล การจัดการสิทธิ์การเข้าถึง
ความเป็นส่วนตัว (Privacy): ทำความเข้าใจนโยบายความเป็นส่วนตัวของผู้ให้บริการ ว่าข้อมูลของผู้ใช้จะถูกนำไปใช้อย่างไร และมีการปกป้องข้อมูลส่วนบุคคลตามกฎหมายหรือไม่
การพึ่งพาผู้ให้บริการ (Vendor Lock-in): พิจารณาว่าการย้ายข้อมูลหรือแอปพลิเคชันออกจากผู้ให้บริการรายนั้นๆ มีความยุ่งยากหรือไม่ เพื่อหลีกเลี่ยงการผูกติดกับผู้ให้บริการรายเดียวมากเกินไป
ความพร้อมใช้งาน (Availability): ตรวจสอบข้อตกลงระดับการให้บริการ (SLA - Service Level Agreement) เพื่อให้ทราบถึงความรับผิดชอบของผู้ให้บริการในกรณีที่ระบบไม่สามารถใช้งานได้
ค่าใช้จ่าย (Cost): ทำความเข้าใจโครงสร้างราคาและค่าใช้จ่ายที่อาจเกิดขึ้น เช่น ค่าบริการตามปริมาณการใช้งาน ค่าบริการเพิ่มเติมต่างๆ
การพิจารณาปัจจัยเหล่านี้จะช่วยให้เลือกใช้บริการคลาวด์ได้อย่างเหมาะสมและปลอดภัยค่ะ</t>
  </si>
  <si>
    <t>ปุ่ม Start มีหน้าที่อะไร</t>
  </si>
  <si>
    <t>ปุ่ม Start ในระบบปฏิบัติการ Windows มีหน้าที่หลักคือ:
เปิดเมนูหลัก (Start Menu): เป็นจุดศูนย์กลางในการเข้าถึงโปรแกรมต่างๆ ที่ติดตั้งไว้ในเครื่องคอมพิวเตอร์
เข้าถึงการตั้งค่า (Settings): ช่วยให้เข้าถึงหน้าต่างการตั้งค่าต่างๆ ของระบบ Windows ได้อย่างรวดเร็ว
ค้นหา (Search): มีช่องสำหรับพิมพ์คำเพื่อค้นหาไฟล์ โปรแกรม หรือการตั้งค่าต่างๆ ในเครื่อง
เปิดโปรแกรม (Launch Applications): สามารถคลิกเลือกโปรแกรมที่ต้องการเพื่อเปิดใช้งานได้โดยตรง
จัดการผู้ใช้ (User Management): ใช้สำหรับสลับผู้ใช้ ล็อกเอาต์ หรือปิดเครื่องคอมพิวเตอร์
กล่าวโดยสรุป ปุ่ม Start เป็นประตูหลักในการเข้าถึงฟังก์ชันและการใช้งานส่วนใหญ่ของระบบปฏิบัติการ Windows ค่ะ</t>
  </si>
  <si>
    <t>อุปกรณ์ที่อยู่ภายในเครื่องคอมพิวเตอร์ (Case) โดยทั่วไปประกอบด้วยส่วนสำคัญดังนี้ค่ะ:
CPU (Central Processing Unit): หน่วยประมวลผลกลาง ทำหน้าที่คำนวณและประมวลผลคำสั่งต่างๆ
RAM (Random Access Memory): หน่วยความจำชั่วคราว ใช้เก็บข้อมูลที่กำลังประมวลผล เพื่อให้ CPU เข้าถึงข้อมูลได้อย่างรวดเร็ว
Mainboard (Motherboard): แผงวงจรหลัก ทำหน้าที่เชื่อมต่ออุปกรณ์ทุกชิ้นภายในเครื่องเข้าด้วยกัน
Hard Disk Drive (HDD) หรือ Solid State Drive (SSD): หน่วยเก็บข้อมูลถาวร ใช้สำหรับติดตั้งระบบปฏิบัติการ โปรแกรม และไฟล์ข้อมูลต่างๆ
Power Supply Unit (PSU): แหล่งจ่ายไฟ ทำหน้าที่แปลงไฟฟ้ากระแสสลับจากเต้ารับให้เป็นไฟฟ้ากระแสตรงสำหรับอุปกรณ์ต่างๆ ในเครื่อง
การ์ดจอ (Graphics Card หรือ GPU): ทำหน้าที่ประมวลผลและแสดงผลภาพกราฟิกบนหน้าจอ (บางครั้งอาจรวมอยู่ใน CPU หรือ Mainboard)
พัดลมระบายความร้อน (Cooling Fans): ช่วยระบายความร้อนที่เกิดจากการทำงานของอุปกรณ์ต่างๆ เช่น CPU, การ์ดจอ, และภายในเคส
อุปกรณ์เหล่านี้ทำงานร่วมกันเพื่อให้คอมพิวเตอร์สามารถทำงานได้ตามที่ผู้ใช้ต้องการค่ะ</t>
  </si>
  <si>
    <t>ขั้นตอนการค้นหาข้อมูลด้วยเสียงบนอุปกรณ์เคลื่อนที่ มีดังนี้ค่ะ:
เปิดแอปพลิเคชันหรือเบราว์เซอร์: บนสมาร์ทโฟนหรือแท็บเล็ต ให้เปิดแอปพลิเคชัน Google หรือเว็บเบราว์เซอร์ที่คุณใช้งานเป็นประจำ
แตะที่ไอคอนไมโครโฟน: มองหาไอคอนรูปไมโครโฟนที่มักจะปรากฏอยู่บนแถบค้นหา (Search Bar) แล้วแตะที่ไอคอนนั้น
พูดคำที่ต้องการค้นหา: เมื่อระบบพร้อม ให้พูดคำหรือประโยคที่คุณต้องการค้นหาอย่างชัดเจน
ระบบประมวลผล: ระบบจะทำการประมวลผลเสียงพูดของคุณ แปลงเป็นข้อความ
แสดงผลลัพธ์: จากนั้น ระบบจะแสดงผลการค้นหาที่เกี่ยวข้องกับคำที่คุณพูดออกมาให้ทันที
วิธีนี้ช่วยให้การค้นหาข้อมูลสะดวกและรวดเร็วยิ่งขึ้น โดยไม่ต้องพิมพ์ค่ะ</t>
  </si>
  <si>
    <t>หลักการทำงานของระบบวิดีโอสตรีมมิ่งบน YouTube มีดังนี้ค่ะ:
การอัปโหลดวิดีโอ: ผู้ใช้ทำการอัปโหลดไฟล์วิดีโอไปยังเซิร์ฟเวอร์ของ YouTube
การแปลงไฟล์ (Encoding): YouTube จะทำการแปลงไฟล์วิดีโอที่อัปโหลดมาให้อยู่ในรูปแบบและคุณภาพที่หลากหลาย เพื่อให้สามารถรองรับการเล่นบนอุปกรณ์ต่างๆ และความเร็วอินเทอร์เน็ตที่แตกต่างกันได้
การจัดเก็บ (Storage): วิดีโอที่ถูกแปลงแล้วจะถูกจัดเก็บไว้ในระบบคลาวด์ของ Google
การร้องขอรับชม (Playback Request): เมื่อผู้ใช้กดเล่นวิดีโอ ระบบจะส่งคำขอไปยังเซิร์ฟเวอร์ของ YouTube
การสตรีมมิ่ง (Streaming): เซิร์ฟเวอร์จะส่งข้อมูลวิดีโอเป็นส่วนเล็กๆ (Packets) อย่างต่อเนื่องไปยังอุปกรณ์ของผู้ใช้ผ่านอินเทอร์เน็ต โดยไม่ต้องรอให้ดาวน์โหลดไฟล์ทั้งหมดเสร็จ
การเล่น (Playback): อุปกรณ์ของผู้ใช้จะรับข้อมูลส่วนเล็กๆ เหล่านั้นมาประกอบกันและเล่นเป็นวิดีโออย่างต่อเนื่อง
กระบวนการนี้ทำให้ผู้ใช้สามารถรับชมวิดีโอได้ทันทีโดยไม่ต้องรอให้ดาวน์โหลดเสร็จสมบูรณ์ค่ะ</t>
  </si>
  <si>
    <t>การจัดเรียงไฟล์ตาม Size หมายถึง การจัดลำดับไฟล์หรือโฟลเดอร์ในหน้าต่าง File Explorer โดยเรียงตามขนาดของไฟล์หรือโฟลเดอร์นั้นๆ ค่ะ
โดยทั่วไปแล้ว การจัดเรียงตาม Size จะมี 2 รูปแบบหลัก คือ:
จากน้อยไปมาก (Ascending): ไฟล์หรือโฟลเดอร์ที่มีขนาดเล็กที่สุดจะแสดงอยู่ด้านบนสุด และไฟล์ที่มีขนาดใหญ่ที่สุดจะอยู่ด้านล่างสุด
จากมากไปน้อย (Descending): ไฟล์หรือโฟลเดอร์ที่มีขนาดใหญ่ที่สุดจะแสดงอยู่ด้านบนสุด และไฟล์ที่มีขนาดเล็กที่สุดจะอยู่ด้านล่างสุด
การจัดเรียงแบบนี้มีประโยชน์เมื่อคุณต้องการทราบว่าไฟล์ใดใช้พื้นที่จัดเก็บมากที่สุด หรือต้องการจัดการกับไฟล์ขนาดใหญ่เพื่อเพิ่มพื้นที่ว่างในไดรฟ์ค่ะ</t>
  </si>
  <si>
    <t>ขั้นตอนการเปลี่ยนชื่อไฟล์ (Rename) ในระบบปฏิบัติการ Windows มีดังนี้ค่ะ:
เลือกไฟล์ที่ต้องการเปลี่ยนชื่อ: คลิกที่ไฟล์นั้น 1 ครั้ง เพื่อเลือก
คลิกขวาที่ไฟล์: เมื่อเลือกไฟล์แล้ว ให้คลิกขวาที่ไฟล์ดังกล่าว
เลือก "Rename" (เปลี่ยนชื่อ): จากเมนูที่ปรากฏขึ้น ให้เลือกตัวเลือก "Rename"
ทางลัด: คุณสามารถกดปุ่ม F2 บนคีย์บอร์ดหลังจากเลือกไฟล์แล้ว เพื่อเข้าสู่โหมดเปลี่ยนชื่อได้ทันที
พิมพ์ชื่อใหม่: ชื่อไฟล์ปัจจุบันจะถูกไฮไลท์ คุณสามารถลบชื่อเดิมออกแล้วพิมพ์ชื่อใหม่ที่ต้องการได้เลย
ยืนยันการเปลี่ยนชื่อ: กดปุ่ม Enter บนคีย์บอร์ด หรือคลิกที่พื้นที่ว่างนอกไฟล์ เพื่อยืนยันการเปลี่ยนชื่อ
หากชื่อไฟล์ที่ตั้งใหม่ซ้ำกับไฟล์ที่มีอยู่แล้ว ระบบอาจจะแจ้งเตือนให้คุณทราบค่ะ</t>
  </si>
  <si>
    <t>แอปพลิเคชั่นที่ใช้ดาวน์โหลดแอปอื่น ๆ บน Android คืออะไร</t>
  </si>
  <si>
    <t>แอปพลิเคชันหลักที่ใช้สำหรับดาวน์โหลดแอปพลิเคชันอื่นๆ บนระบบปฏิบัติการ Android คือ Google Play Store ค่ะ
Google Play Store ทำหน้าที่เป็นหน้าร้านดิจิทัล (Digital Storefront) ที่รวบรวมแอปพลิเคชัน เกม เพลง ภาพยนตร์ และหนังสือต่างๆ ไว้มากมาย ผู้ใช้สามารถค้นหา ดาวน์โหลด และติดตั้งแอปพลิเคชันที่ต้องการได้จากที่นี่ค่ะ</t>
  </si>
  <si>
    <t>การตั้งค่าการวางแนวของจอภาพในระบบปฏิบัติการ Windows สามารถทำได้ดังนี้ค่ะ:
คลิกขวาที่พื้นที่ว่างบน Desktop
เลือก Display settings (การตั้งค่าการแสดงผล)
ในหน้าต่าง Display settings ให้เลื่อนลงมาที่ส่วน Display orientation (การวางแนวการแสดงผล)
คุณจะพบตัวเลือกต่างๆ เช่น:
Landscape (แนวนอน): เป็นการตั้งค่าปกติ
Portrait (แนวตั้ง): สำหรับการแสดงผลในแนวตั้ง
Landscape (flipped) (แนวนอน - กลับด้าน): หน้าจอจะกลับหัว
Portrait (flipped) (แนวตั้ง - กลับด้าน): หน้าจอจะกลับหัวในแนวตั้ง
เลือกการวางแนวที่ต้องการ แล้วคลิก Keep changes (เก็บการเปลี่ยนแปลง) เพื่อยืนยัน หรือ Revert (ย้อนกลับ) หากไม่ต้องการเปลี่ยนแปลงค่ะ</t>
  </si>
  <si>
    <t>ระบุขั้นตอนการใช้งานแอปพลิเคชั่น Google Calendar สำหรับอุปกรณ์เคลื่อนที่ระบบปฏิบัติการ iOS</t>
  </si>
  <si>
    <t>ขั้นตอนการใช้งานแอปพลิเคชัน Google Calendar บนอุปกรณ์เคลื่อนที่ระบบปฏิบัติการ iOS มีดังนี้ค่ะ:
ดาวน์โหลดแอป Google Calendar จาก App Store หากยังไม่ได้ติดตั้ง
เปิดแอป Google Calendar
เข้าสู่ระบบ ด้วยบัญชี Google ของคุณ
กดปุ่ม “+” เพื่อสร้างกิจกรรมใหม่
กำหนดรายละเอียดกิจกรรม ได้แก่ ชื่อกิจกรรม, วันที่และเวลา, สถานที่ และการตั้งค่าการแจ้งเตือน
กด Save (บันทึก) เพื่อยืนยันการสร้างกิจกรรม
แอปพลิเคชันนี้จะช่วยให้คุณสามารถสร้าง, จัดการ, และรับการแจ้งเตือนสำหรับตารางเวลาและกิจกรรมต่างๆ ได้อย่างสะดวกค่ะ</t>
  </si>
  <si>
    <t>ขั้นตอนการลบไฟล์หรือโฟลเดอร์ในระบบ Windows มีดังนี้ค่ะ:
ค้นหาไฟล์หรือโฟลเดอร์ ที่ต้องการลบ
คลิกขวา ที่ไฟล์หรือโฟลเดอร์นั้น
เลือกไอคอน รูปถังขยะ (Delete) จากเมนูที่ปรากฏขึ้น
ไฟล์หรือโฟลเดอร์จะถูกย้ายไปยัง Recycle Bin (ถังรีไซเคิล) ชั่วคราวก่อนที่จะถูกลบอย่างถาวรค่ะ
หากต้องการลบอย่างถาวรทันที สามารถกดปุ่ม Shift ค้างไว้ แล้วกดปุ่ม Delete ได้เลยค่ะ แต่ควรตรวจสอบให้แน่ใจก่อนทำการลบนะคะ</t>
  </si>
  <si>
    <t>ขั้นตอนการสมัครบัญชี Google มีดังนี้ค่ะ:
เข้าสู่เว็บไซต์: ไปที่ accounts.google.com
เลือก "สร้างบัญชี": คลิกที่ปุ่มหรือลิงก์สำหรับสร้างบัญชีใหม่
กรอกข้อมูลส่วนตัว: กรอกชื่อและนามสกุลของคุณ
ตั้งชื่อผู้ใช้และรหัสผ่าน: สร้างชื่อผู้ใช้สำหรับบัญชี Gmail (@gmail.com) และตั้งรหัสผ่านที่คาดเดายาก
ยืนยันเบอร์โทรศัพท์: กรอกเบอร์โทรศัพท์ของคุณเพื่อรับรหัสยืนยันและดำเนินการตามขั้นตอนที่ระบบแนะนำ
เมื่อทำตามขั้นตอนเหล่านี้เสร็จสิ้น คุณก็จะมีบัญชี Google พร้อมใช้งานแล้วค่ะ</t>
  </si>
  <si>
    <t>การปรับวันที่และเวลาในเครื่องคอมพิวเตอร์ระบบ Windows สามารถทำได้ดังนี้ค่ะ:
ไปที่ Settings: คลิกที่ปุ่ม Start แล้วเลือกไอคอนรูปเฟือง (Settings)
เลือก Time &amp; Language: ในหน้าต่าง Settings ให้มองหาและคลิกที่ "Time &amp; Language"
ปรับ Date &amp; Time: เลือก "Date &amp; time" จากเมนูด้านซ้าย คุณสามารถเลือกตั้งค่าให้เป็นอัตโนมัติ (Set time automatically) หรือปรับเองได้ตามต้องการ
หากต้องการปรับโซนเวลา ให้เลื่อนลงมาที่ "Time zone" และเลือกโซนเวลาที่ถูกต้องค่ะ</t>
  </si>
  <si>
    <t>กล้องดิจิทัลทำงานยังไง</t>
  </si>
  <si>
    <t>กล้องดิจิทัลทำงานโดยการเปลี่ยนคลื่นแสงให้เป็นสัญญาณดิจิทัลค่ะ
หลักการทำงานมีดังนี้:
แสงผ่านเลนส์: แสงจากวัตถุจะเดินทางผ่านเลนส์ของกล้อง
ตกกระทบเซ็นเซอร์: แสงจะถูกหักเหไปตกกระทบบนเซ็นเซอร์รับภาพ (Image Sensor)
เปลี่ยนเป็นสัญญาณไฟฟ้า: เซ็นเซอร์จะรับปริมาณแสงและแปลงให้เป็นสัญญาณไฟฟ้า
ประมวลผลเป็นภาพดิจิทัล: ชิปประมวลผลจะรับสัญญาณไฟฟ้ามาคำนวณและแปลงเป็นข้อมูลภาพดิจิทัลในรูปแบบพิกเซล
กล้องดิจิทัลจะเน้นการสร้างภาพที่มีความละเอียดสูงและคุณภาพไฟล์ที่ดี มีระบบควบคุมแสงที่ซับซ้อน และมีหน่วยความจำในตัวเพื่อบันทึกไฟล์ภาพค่ะ</t>
  </si>
  <si>
    <t>การนั่งทำงานกับคอมพิวเตอร์อย่างถูกสุขลักษณะเป็นสิ่งสำคัญเพื่อสุขภาพที่ดีค่ะ
ท่าทางการนั่งทำงานกับคอมพิวเตอร์ที่แนะนำ:
ท่านั่ง: ควรนั่งหลังตรง โดยให้หลังส่วนล่างชิดกับพนักเก้าอี้ หากเก้าอี้ไม่มีส่วนรองรับหลัง ควรใช้หมอนเล็กๆ หนุนหลังส่วนล่าง
ระดับสายตา: ปรับระดับหน้าจอคอมพิวเตอร์ให้อยู่ในระดับสายตา หรือต่ำกว่าเล็กน้อย เพื่อให้มองจอได้โดยไม่ต้องก้มหรือเงยศีรษะมากเกินไป
แขนและมือ: วางแขนบนที่วางแขนของเก้าอี้ หรือบนโต๊ะ โดยให้ข้อศอกทำมุมประมาณ 90 องศา และข้อมืออยู่ในแนวตรงขณะพิมพ์
เท้า: วางเท้าให้ราบกับพื้น หรือใช้ที่รองเท้า หากเท้าลอยจากพื้น ควรปรับระดับความสูงของเก้าอี้ให้เหมาะสม
การพัก: ควรลุกขึ้นยืดเส้นยืดสาย หรือเปลี่ยนอิริยาบถทุกๆ 30-60 นาที เพื่อลดอาการเมื่อยล้า
การปฏิบัติตามท่าทางเหล่านี้จะช่วยลดความเสี่ยงต่ออาการปวดเมื่อยกล้ามเนื้อ และปัญหาสุขภาพที่อาจเกิดขึ้นจากการนั่งทำงานเป็นเวลานานค่ะ</t>
  </si>
  <si>
    <t>2.2.1.1 Windows Home</t>
  </si>
  <si>
    <t>2.3.2.2 รายละเอียดที่แสดง</t>
  </si>
  <si>
    <t>2.2.3.2.2 ความถี่สำหรับวินโดวส์ 11</t>
  </si>
  <si>
    <t>2.3.1.1 เดสก์ท็อป</t>
  </si>
  <si>
    <t>2.1.1.2 ความหมายของซอฟต์แวร์ประยุกต์</t>
  </si>
  <si>
    <t>3.1.4.4 โดเมนเนมที่เป็นชื่อประเทศ</t>
  </si>
  <si>
    <t>2.3.1.4 แถบโปรแกรมด่วน</t>
  </si>
  <si>
    <t>1.3.2.2 ซอฟต์แวร์ระบบ</t>
  </si>
  <si>
    <t>3.1.6.2 ความเร็วอัปโหลด</t>
  </si>
  <si>
    <t>1.1.2 หน่วยองค์ประกอบของระบบคอมพิวเตอร์</t>
  </si>
  <si>
    <t>2.1.3.1.1 ระบบปฏิบัติการบนเครื่องคอมพิวเตอร์ส่วนบุคคล</t>
  </si>
  <si>
    <t>2.2.3.1.1 ซีพียูสำหรับวินโดวส์ 10</t>
  </si>
  <si>
    <t>3.2.7 การจำแนกบริการคลาวด์คอมพิวติง</t>
  </si>
  <si>
    <t>3.2.2 ความหมายของการให้บริการคลาวด์ในอินเทอร์เน็ต</t>
  </si>
  <si>
    <t>1.3.1.3 อุปกรณ์อินพุต</t>
  </si>
  <si>
    <t>3.1.3 โปรโตคอลที่เชื่อมต่ออยู่ในอินเทอร์เน็ต</t>
  </si>
  <si>
    <t>1.2.2.2 เมนเฟรมคอมพิวเตอร์</t>
  </si>
  <si>
    <t>2.4.2.2.3 Item type</t>
  </si>
  <si>
    <t>2.5.2.1 ขั้นตอนการปรับความดังเสียง</t>
  </si>
  <si>
    <t>3.3.3.1.2 ขั้นตอนการค้นหาข้อมูลด้วยภาพ</t>
  </si>
  <si>
    <t>2.7.4.5 ขั้นตอนการเลือกไฟล์และโฟลเดอร์</t>
  </si>
  <si>
    <t>1.7.1.1 ชนิดของข้อมูล</t>
  </si>
  <si>
    <t>1.5.5.2 ลักษณะการทำงานของกล้องเว็บแคม</t>
  </si>
  <si>
    <t>2.4.2.1.1 ปรับขนาดไอคอน</t>
  </si>
  <si>
    <t>3.5.1 ความสำคัญของไปรษณีย์อิเล็กทรอนิกส์</t>
  </si>
  <si>
    <t>2.4.4.1.1 Picture</t>
  </si>
  <si>
    <t>3.5.3.3 ขั้นตอนการเขียนจดหมาย</t>
  </si>
  <si>
    <t>1.5.2.1 ลักษณะการทำงานของเครื่องสแกนภาพ</t>
  </si>
  <si>
    <t>2.7.3.1 ขั้นตอนการแสดงรายการไฟล์ในรูปแบบต่าง ๆ</t>
  </si>
  <si>
    <t>2.7.4.9 ขั้นตอนการค้นหาไฟล์</t>
  </si>
  <si>
    <t xml:space="preserve">1.3.3.5 ช่างเทคนิคคอมพิวเตอร์ </t>
  </si>
  <si>
    <t>2.4.6.1.2 การปรับ Themes ของ Color</t>
  </si>
  <si>
    <t>2.4.4.4 Themes</t>
  </si>
  <si>
    <t>3.6.2.2 ขั้นตอนการใช้งานแอปพลิเคชั่น Youtube บนอุปกรณ์เคลื่อนที่ระบบปฏิบัติการ android</t>
  </si>
  <si>
    <t>3.3.1.1 ขัั้นตอนการค้นหาข้อมูลผ่านเว็บไซต์ (Search Engine) ด้วย google</t>
  </si>
  <si>
    <t>ความเร็วอินเทอร์เน็ตที่ใช้ในการดาวน์โหลดข้อมูลจากอินเทอร์เน็ตมายังเครื่องของคุณ สามารถตรวจสอบได้จากค่า ความเร็วดาวน์โหลด (Download Speed) ค่ะ
โดยทั่วไปแล้ว ความเร็วอินเทอร์เน็ตจะแสดงเป็นตัวเลข 2 ส่วน เช่น "600/400 Mbps" ซึ่งหมายถึง:
600 Mbps คือ ความเร็วดาวน์โหลด (Download Speed)
400 Mbps คือ ความเร็วอัปโหลด (Upload Speed)
ดังนั้น หากต้องการทราบว่าอินเทอร์เน็ตโหลดไวแค่ไหน ให้ดูที่ตัวเลขความเร็วดาวน์โหลดค่ะ</t>
  </si>
  <si>
    <t>2.4.2.2.4 Date Modified</t>
  </si>
  <si>
    <t>2.7.4.6 ขั้นตอนการคัดลอกไฟล์หรือโฟลเดอร์</t>
  </si>
  <si>
    <t>1.6.1.1 ระบบปฏิบัติการ ios</t>
  </si>
  <si>
    <t>2.5.3.1 ขั้นตอนการสร้างชอร์ตคัต</t>
  </si>
  <si>
    <t>3.3.1.2 เทคนิคการกำหนดรูปแบบการค้นหา</t>
  </si>
  <si>
    <t>2.4.6.1.3 การปรับ Themes ของ Sounds</t>
  </si>
  <si>
    <t>1.4.2.3 ความสว่างของจอมอนิเตอร์</t>
  </si>
  <si>
    <t>1.5.3.1 ลักษณะการทำงานของเครื่องอ่านบาร์โค้ด</t>
  </si>
  <si>
    <t>2.7.4.1 ความหมายของไฟล์</t>
  </si>
  <si>
    <t>2.4.4.1.2 Solid Color</t>
  </si>
  <si>
    <t>1.7.2.1 กระบวนการของสารสนเทศ</t>
  </si>
  <si>
    <t>3.3.3.2 การค้นหาข้อมูลด้วย AI</t>
  </si>
  <si>
    <t>1.3.3.6 ผู้ใช้งานทั่วไป</t>
  </si>
  <si>
    <t>3.5.2 ลักษณะการทำงานของ Gmail</t>
  </si>
  <si>
    <t>2.4.4.5 Start</t>
  </si>
  <si>
    <t>3.5.3.4 การออกจากระบบเมื่อเลิกใช้งาน</t>
  </si>
  <si>
    <t>2.4.2.1.2 กำหนดการจัดเรียงไอคอน</t>
  </si>
  <si>
    <t>3.6.2.3 ขั้นตอนการใช้งานแอปพลิเคชั่น Youtube บนอุปกรณ์เคลื่อนที่ระบบปฏิบัติการ ios</t>
  </si>
  <si>
    <t>1.2.2.3 มินิคอมพิวเตอร์</t>
  </si>
  <si>
    <t>1.3.1.4 อุปกรณ์เอาท์พุต</t>
  </si>
  <si>
    <t>2.3.1.5 แถบงาน</t>
  </si>
  <si>
    <t>3.2.7.1 ความหมายของ Software as a Service (SaaS)</t>
  </si>
  <si>
    <t>2.1.2.1 ความสำคัญส่วนเชื่อมต่อผู้ใช้งาน</t>
  </si>
  <si>
    <t>2.1.3.1.2 ระบบปฏิบัติการบนเครื่องแม่ข่าย</t>
  </si>
  <si>
    <t>1.2.1 แบ่งตามลักษณะการใช้งาน</t>
  </si>
  <si>
    <t>3.1.6.3 การกำหนดความเร็วของผู้ให้บริการ</t>
  </si>
  <si>
    <t>2.2.3.1.2 ความถี่สำหรับวินโดวส์ 10</t>
  </si>
  <si>
    <t>3.1.4.5 ขั้นตอนการจดทะเบียนเพื่อใช้งานโดเมนเนม</t>
  </si>
  <si>
    <t>2.2.3.2.3 แกนประมวลผลสำหรับวินโดวส์ 11</t>
  </si>
  <si>
    <t>2.2.1.2 Windows Pro</t>
  </si>
  <si>
    <t>3.1.4 ความหมายของโดเมนเนม</t>
  </si>
  <si>
    <t>2.3.1.2.1 ไอคอนผู้ใช้งาน</t>
  </si>
  <si>
    <t>2.4.1.1 View</t>
  </si>
  <si>
    <t>1.3.2.2.1 ระบบปฏิบัติการ (OS)</t>
  </si>
  <si>
    <t>3.2.3 ลักษณะของการให้บริการคลาวด์ในอินเทอร์เน็ต</t>
  </si>
  <si>
    <t>2.2.3.1.3 หน่วยความจำสำหรับวินโดวส์ 10</t>
  </si>
  <si>
    <t>3.1.5.1 การเชื่อมต่อส่วนบุคคล</t>
  </si>
  <si>
    <t>1.2.1.1 คอมพิวเตอร์ใช้งานทั่วไป</t>
  </si>
  <si>
    <t>2.2.2.1 รูปแบบ OEM</t>
  </si>
  <si>
    <t>2.3.1.2.2 ไอคอนคอมพิวเตอร์</t>
  </si>
  <si>
    <t>1.4.1.1 การติดตั้งเครื่องคอมพิวเตอร์</t>
  </si>
  <si>
    <t>1.2.2.4 ไมโครคอมพิวเตอร์</t>
  </si>
  <si>
    <t>2.4.2.1.3 กำหนดการแสดงผลไอคอน</t>
  </si>
  <si>
    <t>2.3.1.6 แถบระบบ</t>
  </si>
  <si>
    <t>2.1.2.2 ความสำคัญต่อการติดตั้งซอฟต์แวร์ประยุกต์</t>
  </si>
  <si>
    <t>3.3.2 ลักษณะการค้นหาแบบ Search Directories</t>
  </si>
  <si>
    <t>2.4.1.2 Sort by</t>
  </si>
  <si>
    <t>3.6.3.1 ลักษณะการทำงานของ Google Calendar</t>
  </si>
  <si>
    <t>1.6.1.2 ระบบปฏิบัติการ android</t>
  </si>
  <si>
    <t>3.1.4.1 โดเมนเนม 2 ระดับ</t>
  </si>
  <si>
    <t>2.4.4.1.3 Slide Show</t>
  </si>
  <si>
    <t>3.1.6.4 ลักษณะการให้บริการของอินเทอร์เน็ตบ้าน</t>
  </si>
  <si>
    <t>2.4.4.6 Taskbar</t>
  </si>
  <si>
    <t>2.6.1 ขั้นตอนการเปิดโปรแกรมเพื่อใช้งาน</t>
  </si>
  <si>
    <t>1.3.3.2 นักวิเคราะห์ระบบ</t>
  </si>
  <si>
    <t>1.7.3.1 เทคโนโลยีด้านคอมพิวเตอร์</t>
  </si>
  <si>
    <t>2.7.4.6.1 การคัดลอกไฟล์ที่มีชื่อเดียวกันอยู่ในไดรฟ์หรือโฟลเดอร์ปลายทาง</t>
  </si>
  <si>
    <t>2.7.4.2 ความหมายของโฟลเดอร์</t>
  </si>
  <si>
    <t>2.4.6.1.4 การปรับ Themes ของ Mouse cursor</t>
  </si>
  <si>
    <t>3.2.4 ความสำคัญของการให้บริการคลาวด์ในอินเทอร์เน็ต</t>
  </si>
  <si>
    <t>3.6.1.1 ขั้นตอนการใช้งานแอปพลิเคชั่น Gmail บนอุปกรณ์เคลื่อนที่ระบบปฏิบัติการ android</t>
  </si>
  <si>
    <t>1.3.2.2.2 โปรแกรมอรรถประโยชน์</t>
  </si>
  <si>
    <t>1.5.1.1 เครื่องพิมพ์ดอตเมตริกซ์</t>
  </si>
  <si>
    <t>1.3.1.5 อุปกรณ์บันทึกข้อมูล</t>
  </si>
  <si>
    <t>2.1.3.1.3 ระบบปฏิบัติการบนเครื่องแท็บเล็ตและสมาร์ทโฟน</t>
  </si>
  <si>
    <t>3.3.3.2.1 ขั้นตอนการค้นหาข้อมูลด้วย AI ด้วย ChatGPT</t>
  </si>
  <si>
    <t>5.4.1ไมโครโฟนแบบไดนามิก</t>
  </si>
  <si>
    <t>3.2.7.2 ความหมายของ Infrastructure as a Service (IaaS)</t>
  </si>
  <si>
    <t>2.2.3.2.4 หน่วยความจำสำหรับวินโดวส์ 11</t>
  </si>
  <si>
    <t>3.5.3 ขั้นตอนการเข้าใช้ไปรษณีย์อิเล็กทรอนิกส์ Gmail</t>
  </si>
  <si>
    <t>เครื่องพิมพ์เลเซอร์ทำงานโดยใช้หลักการคล้ายกับเครื่องถ่ายเอกสารค่ะ โดยมีขั้นตอนการทำงานดังนี้:
การสร้างภาพบนดรัม: เลเซอร์จะยิงแสงไปยังดรัมรับภาพที่เคลือบสารไวแสง ทำให้เกิดประจุไฟฟ้าสถิตในบริเวณที่แสงเลเซอร์ตกกระทบ
การสร้างผงหมึก: ผงหมึก (Toner) ซึ่งมีประจุไฟฟ้าจะถูกดึงดูดไปยังบริเวณที่มีประจุไฟฟ้าบนดรัม
การถ่ายโอนผงหมึก: ดรัมจะหมุนถ่ายโอนผงหมึกไปยังกระดาษที่เคลื่อนผ่าน
การหลอมผงหมึก: กระดาษที่ติดผงหมึกจะผ่านลูกกลิ้งความร้อน (Fuser) ซึ่งจะหลอมผงหมึกให้ติดแน่นกับเส้นใยกระดาษ
เครื่องพิมพ์เลเซอร์ให้ผลลัพธ์การพิมพ์ที่มีความละเอียดสูงและทำงานได้รวดเร็วค่ะ</t>
  </si>
  <si>
    <t>เครื่องพิมพ์อิงก์เจ็ตและเครื่องพิมพ์เลเซอร์มีความแตกต่างกันหลักๆ ดังนี้ค่ะ:
หลักการทำงาน:
เครื่องพิมพ์อิงก์เจ็ต: ทำงานโดยการพ่นละอองหมึกเหลวผ่านหัวฉีดขนาดเล็กจำนวนมาก ลงบนกระดาษ
เครื่องพิมพ์เลเซอร์: ใช้เลเซอร์สร้างภาพบนดรัม จากนั้นผงหมึกจะถูกถ่ายโอนไปยังกระดาษและหลอมด้วยความร้อน
คุณภาพการพิมพ์:
เครื่องพิมพ์อิงก์เจ็ต: เหมาะสำหรับการพิมพ์ภาพสีที่มีความละเอียดสูงและให้สีสันสดใส แต่หมึกอาจจะซึมได้หากกระดาษไม่เหมาะสม
เครื่องพิมพ์เลเซอร์: ให้ความคมชัดสูงสำหรับตัวอักษรและกราฟิก เหมาะกับการพิมพ์เอกสารทั่วไป และมีความทนทานต่อการซีดจางมากกว่า
ความเร็ว:
เครื่องพิมพ์เลเซอร์: โดยทั่วไปจะพิมพ์ได้เร็วกว่าเครื่องพิมพ์อิงก์เจ็ต โดยเฉพาะการพิมพ์เอกสารจำนวนมาก
ต้นทุน:
เครื่องพิมพ์อิงก์เจ็ต: ตัวเครื่องมักมีราคาถูกกว่า แต่ตลับหมึกมีราคาสูงกว่าเมื่อเทียบกับปริมาณการพิมพ์
เครื่องพิมพ์เลเซอร์: ตัวเครื่องมีราคาสูงกว่า แต่ผงหมึกมีราคาต่อหน่วยที่ถูกกว่า และสามารถพิมพ์ได้จำนวนแผ่นมากกว่าต่อตลับ
การใช้งาน:
เครื่องพิมพ์อิงก์เจ็ต: เหมาะสำหรับการพิมพ์ภาพถ่าย งานกราฟิกสี และเอกสารทั่วไปที่ต้องการสีสัน
เครื่องพิมพ์เลเซอร์: เหมาะสำหรับการพิมพ์เอกสารทางธุรกิจ รายงาน หรือเอกสารที่ต้องการความคมชัดของตัวอักษรสูง</t>
  </si>
  <si>
    <t>อธิบายวิธีการในการติดต่อบนระบบบอินเทอร์เน็ต</t>
  </si>
  <si>
    <t>การติดต่อสื่อสารบนระบบอินเทอร์เน็ตสามารถทำได้หลายวิธีค่ะ โดยอาศัยโปรโตคอลต่างๆ ในการเชื่อมต่อและแลกเปลี่ยนข้อมูล ดังนี้:
อีเมล (Email): ใช้โปรโตคอล SMTP (Simple Mail Transfer Protocol) สำหรับการส่งอีเมล และ POP3/IMAP สำหรับการรับอีเมล เป็นการสื่อสารแบบไม่เรียลไทม์ เหมาะสำหรับการส่งข้อความยาวๆ หรือไฟล์แนบ
เว็บไซต์ (Websites): ใช้โปรโตคอล HTTP (Hypertext Transfer Protocol) หรือ HTTPS (HTTP Secure) ในการรับส่งข้อมูลระหว่างเว็บเบราว์เซอร์และเว็บเซิร์ฟเวอร์ ทำให้เราสามารถเข้าถึงข้อมูลต่างๆ บนอินเทอร์เน็ตได้
โปรแกรมแชต (Chat Programs): เช่น LINE, WhatsApp, Facebook Messenger ใช้โปรโตคอลที่หลากหลายในการสื่อสารแบบเรียลไทม์ เพื่อส่งข้อความ รูปภาพ หรือวิดีโอ
โซเชียลมีเดีย (Social Media): แพลตฟอร์มต่างๆ เช่น Facebook, Twitter, Instagram ใช้โปรโตคอลเฉพาะของตนเองในการให้บริการโพสต์ แชร์ และโต้ตอบกัน
โปรโตคอลเหล่านี้ทำหน้าที่เป็นเหมือนกฎเกณฑ์ที่ทำให้การสื่อสารระหว่างอุปกรณ์ต่างๆ บนอินเทอร์เน็ตเป็นไปอย่างถูกต้องและมีประสิทธิภาพค่ะ</t>
  </si>
  <si>
    <t>เดสก์ท็อป (Desktop) ในระบบปฏิบัติการ Windows คือพื้นที่หลักบนหน้าจอคอมพิวเตอร์ค่ะ เปรียบเสมือนโต๊ะทำงานของคุณ ที่คุณสามารถวางสิ่งต่างๆ ที่ใช้งานบ่อยๆ เพื่อให้เข้าถึงได้ง่าย
บนเดสก์ท็อป คุณจะพบกับองค์ประกอบต่างๆ ดังนี้:
ไอคอน (Icons): เป็นรูปภาพเล็กๆ ที่แทนโปรแกรม ไฟล์ โฟลเดอร์ หรือการตั้งค่าต่างๆ เช่น ไอคอน This PC, Recycle Bin, หรือไอคอนของโปรแกรมที่คุณติดตั้งไว้
วอลเปเปอร์ (Wallpaper): คือภาพพื้นหลังของเดสก์ท็อป ซึ่งคุณสามารถปรับเปลี่ยนได้ตามต้องการ
แถบงาน (Taskbar): โดยปกติจะอยู่ที่ด้านล่างของหน้าจอ แสดงโปรแกรมที่กำลังเปิดอยู่ และมีปุ่ม Start Menu เพื่อเข้าถึงโปรแกรมและการตั้งค่าทั้งหมด
ตัวชี้เมาส์ (Mouse Pointer): สัญลักษณ์ที่เคลื่อนที่ไปตามการขยับเมาส์ เพื่อระบุตำแหน่งและสั่งการบนหน้าจอ
เดสก์ท็อปจึงเป็นจุดเริ่มต้นในการใช้งานคอมพิวเตอร์ และเป็นพื้นที่ที่คุณสามารถจัดระเบียบสิ่งต่างๆ เพื่อให้การทำงานสะดวกและรวดเร็วยิ่งขึ้นค่ะ</t>
  </si>
  <si>
    <t>ซอฟต์แวร์ประยุกต์ (Application Software) คือชุดคำสั่งหรือโปรแกรมที่ถูกสร้างขึ้นมาเพื่อสั่งให้คอมพิวเตอร์ทำงานเฉพาะอย่างตามความต้องการของผู้ใช้งานโดยตรงค่ะ
พูดง่ายๆ คือ เป็นโปรแกรมที่เราใช้เพื่อทำงานต่างๆ เช่น:
การสร้างเอกสาร: เช่น Microsoft Word, Google Docs
การคำนวณ: เช่น Microsoft Excel, Google Sheets
การนำเสนอ: เช่น Microsoft PowerPoint, Canva
การสื่อสาร: เช่น LINE, Zoom, โปรแกรมอีเมล
การเล่นเกม: เช่น เกมต่างๆ ที่ติดตั้งบนคอมพิวเตอร์
การแก้ไขรูปภาพ: เช่น Adobe Photoshop
ซอฟต์แวร์ประยุกต์จะทำงานอยู่บนระบบปฏิบัติการ (Operating System) เช่น Windows หรือ macOS เพื่อให้สามารถสั่งการและใช้งานฮาร์ดแวร์ของคอมพิวเตอร์ได้ค่ะ</t>
  </si>
  <si>
    <t>ความเร็วอัปโหลด (Upload Speed) คืออัตราการรับส่งข้อมูลจากอุปกรณ์ของคุณไปยังอินเทอร์เน็ตค่ะ
อธิบายให้เข้าใจง่ายขึ้นคือ:
ความเร็วดาวน์โหลด (Download Speed): เป็นความเร็วในการรับข้อมูลจากอินเทอร์เน็ตมายังอุปกรณ์ของคุณ เช่น การดูวิดีโอ การดาวน์โหลดไฟล์
ความเร็วอัปโหลด (Upload Speed): เป็นความเร็วในการส่งข้อมูลจากอุปกรณ์ของคุณไปยังอินเทอร์เน็ต เช่น การส่งอีเมลพร้อมไฟล์แนบ การอัปโหลดวิดีโอขึ้น YouTube การวิดีโอคอล
ความเร็วอัปโหลดมีความสำคัญเมื่อคุณต้องการส่งข้อมูลจำนวนมากออกไป เช่น การแชร์ไฟล์ขนาดใหญ่ การไลฟ์สตรีม หรือการทำงานร่วมกับผู้อื่นแบบเรียลไทม์ค่ะ โดยทั่วไปความเร็วอัปโหลดมักจะต่ำกว่าความเร็วดาวน์โหลดค่ะ</t>
  </si>
  <si>
    <t>ระบบปฏิบัติการที่นิยมใช้กับคอมพิวเตอร์ส่วนบุคคลมีหลายประเภทค่ะ โดยหลักๆ ที่พบเห็นได้บ่อยมีดังนี้ค่ะ
Microsoft Windows: เป็นระบบปฏิบัติการที่ได้รับความนิยมมากที่สุดในกลุ่มผู้ใช้คอมพิวเตอร์ส่วนบุคคล มีหลากหลายเวอร์ชัน เช่น Windows 10 และ Windows 11 มีจุดเด่นที่ใช้งานง่าย มีโปรแกรมรองรับจำนวนมาก และมีความคุ้นเคยกับผู้ใช้ส่วนใหญ่
macOS: เป็นระบบปฏิบัติการของ Apple ที่ใช้กับเครื่องคอมพิวเตอร์ Mac (MacBook, iMac) มีดีไซน์ที่สวยงาม ใช้งานง่าย และมีความเสถียรสูง เหมาะสำหรับผู้ที่ต้องการประสบการณ์การใช้งานที่แตกต่างจาก Windows
Linux: เป็นระบบปฏิบัติการแบบโอเพนซอร์ส (Open Source) ที่มีความยืดหยุ่นสูง สามารถปรับแต่งได้หลากหลาย มีหลายเวอร์ชันย่อย (Distribution) เช่น Ubuntu, Fedora, Mint เหมาะสำหรับผู้ที่ต้องการควบคุมระบบได้มากขึ้น หรือนักพัฒนาโปรแกรม
ทั้งสามระบบปฏิบัติการนี้มีคุณสมบัติและวิธีการใช้งานที่แตกต่างกันไป ขึ้นอยู่กับความชอบและความต้องการของผู้ใช้งานค่ะ</t>
  </si>
  <si>
    <t>สำหรับการติดตั้งระบบปฏิบัติการ Windows 10 ควรใช้ซีพียูแบบ 64 บิต ที่มีความถี่ 1 GHz ขึ้นไปค่ะ นอกจากนี้ ยังต้องการหน่วยความจำ (RAM) ไม่น้อยกว่า 2 GB และมีพื้นที่ว่างในฮาร์ดดิสก์อย่างน้อย 32 GB ค่ะ
หากนักเรียนต้องการทราบข้อมูลเพิ่มเติมเกี่ยวกับความต้องการของฮาร์ดแวร์สำหรับ Windows เวอร์ชันอื่น หรือต้องการคำแนะนำในการเลือกซื้อคอมพิวเตอร์ สามารถสอบถามได้เลยนะคะ</t>
  </si>
  <si>
    <t>สำหรับระบบปฏิบัติการ Windows 11 จะมีข้อกำหนดของซีพียูที่สูงกว่า Windows 10 ค่ะ
ความต้องการซีพียูสำหรับ Windows 11:
สถาปัตยกรรม: ต้องเป็นซีพียูแบบ 64 บิต
ความถี่: อย่างน้อย 1 GHz
จำนวนคอร์: มีแถบประมวลผล (Cores) ไม่น้อยกว่า 2 แกน
นอกจากนี้ Windows 11 ยังต้องการหน่วยความจำ (RAM) อย่างน้อย 4 GB และพื้นที่ว่างในฮาร์ดดิสก์ไม่ต่ำกว่า 64 GB ค่ะ
มีข้อกำหนดเพิ่มเติมที่สำคัญคือ เมนบอร์ดที่ใช้งานจะต้องมี TPM เวอร์ชัน 2.0 ขึ้นไป และใช้ UEFI BIOS ที่รองรับ Secure Boot ด้วยค่ะ
หากนักเรียนมีข้อสงสัยเพิ่มเติมเกี่ยวกับข้อกำหนดเหล่านี้ หรือต้องการตรวจสอบว่าซีพียูที่ใช้อยู่รองรับ Windows 11 หรือไม่ สามารถสอบถามได้เลยนะคะ</t>
  </si>
  <si>
    <t>บริการคลาวด์คอมพิวติงแบ่งออกเป็น 3 รูปแบบหลัก ดังนี้ค่ะ:
SaaS (Software as a Service): เป็นการให้บริการซอฟต์แวร์ผ่านอินเทอร์เน็ต ผู้ใช้สามารถเข้าถึงและใช้งานได้โดยตรงผ่านเว็บเบราว์เซอร์ ตัวอย่างเช่น Gmail, Google Docs.
IaaS (Infrastructure as a Service): เป็นการให้บริการโครงสร้างพื้นฐานทางคอมพิวเตอร์ เช่น เซิร์ฟเวอร์เสมือน (Virtual Servers), พื้นที่จัดเก็บข้อมูล (Storage), และเครือข่าย (Networking) ผู้ใช้สามารถจัดการและควบคุมโครงสร้างพื้นฐานเหล่านี้ได้เอง ตัวอย่างเช่น Amazon Web Services (AWS), Microsoft Azure.
PaaS (Platform as a Service): เป็นการให้บริการแพลตฟอร์มสำหรับการพัฒนาและปรับใช้แอปพลิเคชัน โดยรวมเอาทั้งฮาร์ดแวร์และซอฟต์แวร์ที่จำเป็นมาให้ ผู้พัฒนาสามารถมุ่งเน้นไปที่การสร้างแอปพลิเคชันได้โดยไม่ต้องกังวลเรื่องการจัดการโครงสร้างพื้นฐาน ตัวอย่างเช่น Google App Engine, Heroku.
นักเรียนสนใจรายละเอียดของบริการประเภทใดเป็นพิเศษไหมคะ</t>
  </si>
  <si>
    <t>บริการคลาวด์บนอินเทอร์เน็ต หรือที่เรียกว่า "คลาวด์" คือการให้บริการทรัพยากรคอมพิวเตอร์ผ่านเครือข่ายอินเทอร์เน็ตค่ะ
ลักษณะสำคัญคือ:
การเข้าถึงได้ทุกที่ทุกเวลา: ผู้ใช้สามารถเข้าถึงข้อมูลและบริการต่างๆ ได้จากทุกที่ที่มีการเชื่อมต่ออินเทอร์เน็ต
การใช้ทรัพยากรผ่านออนไลน์: แทนที่จะต้องติดตั้งซอฟต์แวร์หรือเก็บข้อมูลไว้ในเครื่องคอมพิวเตอร์ส่วนตัว บริการคลาวด์จะจัดเก็บและประมวลผลข้อมูลบนเซิร์ฟเวอร์ของผู้ให้บริการ
ความยืดหยุ่นและการขยายระบบ: สามารถปรับเพิ่มหรือลดทรัพยากรได้ตามความต้องการ ทำให้ประหยัดค่าใช้จ่ายและรองรับการใช้งานที่เปลี่ยนแปลงไปได้
บริการคลาวด์ช่วยลดภาระในการจัดการฮาร์ดแวร์และซอฟต์แวร์ของผู้ใช้ และเพิ่มความสะดวกในการทำงานร่วมกันค่ะ</t>
  </si>
  <si>
    <t>โปรโตคอลที่ใช้ในการสื่อสารบนอินเทอร์เน็ตมีหลายประเภทค่ะ โปรโตคอลเหล่านี้ทำหน้าที่กำหนดกฎเกณฑ์และรูปแบบการรับส่งข้อมูลเพื่อให้คอมพิวเตอร์และอุปกรณ์ต่างๆ สามารถสื่อสารกันได้อย่างถูกต้อง
โปรโตคอลหลักๆ ที่สำคัญ ได้แก่:
TCP/IP (Transmission Control Protocol/Internet Protocol): เป็นชุดโปรโตคอลพื้นฐานที่สำคัญที่สุดของอินเทอร์เน็ต ทำหน้าที่ควบคุมการแบ่งข้อมูลออกเป็นแพ็กเก็ต การส่งแพ็กเก็ต และการประกอบกลับให้ถูกต้อง รวมถึงการกำหนดเส้นทางการส่งข้อมูล
HTTP (Hypertext Transfer Protocol): เป็นโปรโตคอลที่ใช้ในการรับส่งข้อมูลบนเว็บเบราว์เซอร์ ใช้ในการร้องขอและส่งหน้าเว็บเพจจากเซิร์ฟเวอร์ไปยังผู้ใช้
HTTPS (Hypertext Transfer Protocol Secure): เป็นเวอร์ชันที่ปลอดภัยของ HTTP โดยมีการเข้ารหัสข้อมูลเพื่อป้องกันการดักจับข้อมูลระหว่างการสื่อสาร
FTP (File Transfer Protocol): เป็นโปรโตคอลที่ใช้ในการถ่ายโอนไฟล์ระหว่างคอมพิวเตอร์สองเครื่องผ่านเครือข่าย
SMTP (Simple Mail Transfer Protocol): เป็นโปรโตคอลที่ใช้ในการส่งอีเมลจากผู้ส่งไปยังเซิร์ฟเวอร์อีเมลของผู้รับ
นอกจากนี้ยังมีโปรโตคอลอื่นๆ อีกมากมายที่ใช้ในวัตถุประสงค์เฉพาะ เช่น DNS (Domain Name System) สำหรับการแปลงชื่อโดเมนเป็น IP Address หรือ POP3/IMAP สำหรับการรับอีเมลค่ะ</t>
  </si>
  <si>
    <t>เว็บแคม (Webcam) ทำงานโดยการเปลี่ยน "คลื่นแสง" ให้กลายเป็น "สัญญาณดิจิทัล" เพื่อส่งข้อมูลภาพไปยังคอมพิวเตอร์ค่ะ
ขั้นตอนการทำงานมีดังนี้:
รับแสงผ่านเลนส์: แสงจากวัตถุจะเดินทางผ่านเลนส์ของเว็บแคม
ตกกระทบเซ็นเซอร์รับภาพ: แสงที่ผ่านเลนส์จะไปตกกระทบบนเซ็นเซอร์รับภาพ (Image Sensor) ซึ่งทำหน้าที่รับปริมาณแสง
แปลงเป็นสัญญาณไฟฟ้า: เซ็นเซอร์รับภาพจะเปลี่ยนปริมาณแสงที่ได้รับให้เป็นสัญญาณไฟฟ้า
ประมวลผลและแปลงเป็นข้อมูลดิจิทัล: ชิปประมวลผลในเว็บแคมจะรับสัญญาณไฟฟ้ามาคำนวณและแปลงค่าให้เป็นข้อมูลภาพดิจิทัลในรูปแบบของพิกเซล
ส่งข้อมูลผ่าน USB: ข้อมูลภาพดิจิทัลนี้จะถูกส่งผ่านสาย USB เข้าสู่คอมพิวเตอร์
ประมวลผลโดยซอฟต์แวร์: ซอฟต์แวร์บนคอมพิวเตอร์ (เช่น โปรแกรมวิดีโอคอล หรือโปรแกรมบันทึกวิดีโอ) จะนำข้อมูลภาพนี้ไปแสดงผล ถ่ายทอดสด หรือบันทึกลงในเครื่องค่ะ
เว็บแคมถูกออกแบบมาเพื่อการสื่อสารแบบเรียลไทม์ จึงไม่มีหน่วยความจำในตัว แต่จะส่งข้อมูลภาพเข้าคอมพิวเตอร์โดยตรงค่ะ</t>
  </si>
  <si>
    <t xml:space="preserve">ช่างเทคนิคคอมพิวเตอร์มีหน้าที่หลักในการดูแล ตรวจสอบ และแก้ไขปัญหาเกี่ยวกับฮาร์ดแวร์และซอฟต์แวร์ของระบบคอมพิวเตอร์ค่ะ
หน้าที่สำคัญของช่างเทคนิคคอมพิวเตอร์ ได้แก่:
การติดตั้งและตั้งค่า: ติดตั้งฮาร์ดแวร์ใหม่ เช่น คอมพิวเตอร์ เครื่องพิมพ์ หรืออุปกรณ์ต่อพ่วงอื่นๆ รวมถึงการติดตั้งและตั้งค่าระบบปฏิบัติการและซอฟต์แวร์ต่างๆ
การบำรุงรักษา: ตรวจสอบสภาพฮาร์ดแวร์ ทำความสะอาดเครื่องคอมพิวเตอร์ อัปเดตซอฟต์แวร์และระบบปฏิบัติการ เพื่อให้ระบบทำงานได้อย่างมีประสิทธิภาพและป้องกันปัญหา
การแก้ไขปัญหา (Troubleshooting): วิเคราะห์และแก้ไขปัญหาที่เกิดขึ้นกับฮาร์ดแวร์ ซอฟต์แวร์ หรือระบบเครือข่าย เช่น เครื่องคอมพิวเตอร์เปิดไม่ติด โปรแกรมค้าง หรือการเชื่อมต่ออินเทอร์เน็ตมีปัญหา
การซ่อมแซม: ซ่อมแซมหรือเปลี่ยนชิ้นส่วนฮาร์ดแวร์ที่ชำรุด
การให้คำแนะนำ: ให้คำแนะนำแก่ผู้ใช้งานเกี่ยวกับวิธีการใช้งานคอมพิวเตอร์ การดูแลรักษาเบื้องต้น และการแก้ไขปัญหาทั่วไป
</t>
  </si>
  <si>
    <t>1.3.2.3.2 ซอฟต์แวร์สำหรับงานเฉพาะด้าน</t>
  </si>
  <si>
    <t>ซอฟต์แวร์สำหรับงานเฉพาะด้านคือโปรแกรมอะไรบ้าง</t>
  </si>
  <si>
    <t>ซอฟต์แวร์สำหรับงานเฉพาะด้าน (Special Purpose Software) คือโปรแกรมที่ถูกพัฒนาขึ้นเพื่อตอบสนองความต้องการหรือภารกิจเฉพาะขององค์กรหรือสายงานใดสายงานหนึ่งโดยเฉพาะค่ะ
ตัวอย่างของซอฟต์แวร์สำหรับงานเฉพาะด้าน ได้แก่:
ระบบบัญชี (Accounting Software): ใช้ในการบันทึก จัดการ และวิเคราะห์ข้อมูลทางการเงินของธุรกิจ เช่น การทำบัญชีรายรับ-รายจ่าย การออกใบแจ้งหนี้ หรือการจัดการภาษี
ระบบบริหารจัดการคลังสินค้า (Warehouse Management System - WMS): ใช้ในการติดตามและควบคุมสินค้าคงคลัง การรับเข้า-เบิกจ่ายสินค้า และการจัดการพื้นที่จัดเก็บในคลังสินค้า
ระบบบริหารจัดการลูกค้าสัมพันธ์ (Customer Relationship Management - CRM): ใช้ในการจัดการข้อมูลลูกค้า การติดตามปฏิสัมพันธ์กับลูกค้า และการวิเคราะห์พฤติกรรมลูกค้าเพื่อเพิ่มยอดขายและการบริการ
โปรแกรมออกแบบทางวิศวกรรม (CAD Software): ใช้ในการสร้างแบบจำลองทางวิศวกรรมและสถาปัตยกรรม เช่น AutoCAD หรือ SolidWorks
โปรแกรมตัดต่อวิดีโอระดับมืออาชีพ: ใช้สำหรับสร้างสรรค์และแก้ไขวิดีโอสำหรับงานภาพยนตร์ โฆษณา หรือสื่อต่างๆ เช่น Adobe Premiere Pro หรือ Final Cut Pro
ซอฟต์แวร์เหล่านี้จะมีความสามารถที่เจาะจงและซับซ้อนกว่าซอฟต์แวร์สำหรับงานทั่วไป เพื่อให้การดำเนินงานในสายอาชีพนั้นๆ มีความแม่นยำ เป็นระบบ และมีประสิทธิภาพสูงสุดค่ะ</t>
  </si>
  <si>
    <t>ระบบคอมพิวเตอร์มันประกอบด้วยหน่วยอะไรบ้าง</t>
  </si>
  <si>
    <t>ระบบคอมพิวเตอร์ประกอบด้วยหน่วยหลักๆ ดังนี้ค่ะ:
หน่วยรับข้อมูล (Input Unit): ทำหน้าที่รับข้อมูลและคำสั่งจากผู้ใช้เข้าสู่ระบบคอมพิวเตอร์ ตัวอย่างอุปกรณ์ เช่น คีย์บอร์ด, เมาส์, สแกนเนอร์, ไมโครโฟน
หน่วยประมวลผลกลาง (Central Processing Unit - CPU): เป็นสมองของคอมพิวเตอร์ ทำหน้าที่ประมวลผลข้อมูลและคำสั่งตามที่ได้รับมา
หน่วยความจำ (Memory Unit): ทำหน้าที่เก็บข้อมูลและคำสั่งต่างๆ ที่ CPU ต้องการใช้งาน แบ่งเป็น
หน่วยความจำหลัก (Main Memory/RAM): เก็บข้อมูลและโปรแกรมที่กำลังใช้งานอยู่ ชั่วคราว
หน่วยความจำสำรอง (Secondary Storage): เก็บข้อมูลและโปรแกรมถาวร เช่น ฮาร์ดดิสก์ (HDD), โซลิดสเตตไดรฟ์ (SSD), แฟลชไดรฟ์
หน่วยแสดงผล (Output Unit): ทำหน้าที่แสดงผลลัพธ์จากการประมวลผลออกมาให้ผู้ใช้ทราบ ตัวอย่างอุปกรณ์ เช่น จอภาพ (Monitor), เครื่องพิมพ์ (Printer), ลำโพง
หน่วยเหล่านี้ทำงานร่วมกันตามวงจร Input-Process-Output-Storage เพื่อให้คอมพิวเตอร์ทำงานได้ตามที่ผู้ใช้ต้องการค่ะ</t>
  </si>
  <si>
    <t>หากต้องการเขียนอีเมลใหม่ใน Gmail สามารถทำตามขั้นตอนดังนี้ค่ะ:
เปิดเว็บเบราว์เซอร์ แล้วไปที่ www.gmail.com
เข้าสู่ระบบ ด้วยอีเมลและรหัสผ่านบัญชี Google ของคุณ
คลิกที่ปุ่ม "Compose" (เขียน) ซึ่งมักจะอยู่ที่มุมซ้ายบนของหน้าจอ
ในหน้าต่างเขียนอีเมลใหม่:
ช่อง "To" (ถึง): กรอกที่อยู่อีเมลของผู้รับ
ช่อง "Subject" (หัวข้อ): ใส่หัวข้อเรื่องของอีเมล
พื้นที่เนื้อหา: พิมพ์ข้อความที่คุณต้องการส่ง
เมื่อเขียนเสร็จแล้ว คลิกที่ปุ่ม "Send" (ส่ง)
หากต้องการแนบไฟล์ สามารถคลิกที่ไอคอนรูปคลิปหนีบกระดาษเพื่อเลือกไฟล์ที่ต้องการแนบได้ค่ะ</t>
  </si>
  <si>
    <t>ถ้าปรับ Themes ของ Color แล้วผลลัพธ์จะเป็นอย่างไร</t>
  </si>
  <si>
    <t>การปรับ Themes ของ Color ใน Windows จะส่งผลต่อรูปลักษณ์โดยรวมของส่วนติดต่อผู้ใช้ (User Interface) ค่ะ
เมื่อคุณปรับ Themes ของ Color จะมีผลดังนี้:
สีหลักของระบบ (Accent Color): สีที่เลือกจะถูกนำไปใช้กับองค์ประกอบต่างๆ ของ Windows เช่น แถบหัวข้อของหน้าต่าง, ปุ่มบางปุ่ม, หรือส่วนที่เลือกในเมนูต่างๆ
โหมด Light หรือ Dark: คุณสามารถเลือกระหว่างโหมดสว่าง (Light Mode) ซึ่งจะใช้พื้นหลังสีอ่อน หรือโหมดมืด (Dark Mode) ซึ่งจะใช้พื้นหลังสีเข้ม ซึ่งส่งผลต่อความสบายตาในการใช้งาน โดยเฉพาะในสภาพแสงที่แตกต่างกัน
การปรับแต่งนี้จะช่วยให้คุณสามารถปรับเปลี่ยนหน้าตาของ Windows ให้ตรงกับความชอบส่วนบุคคล หรือให้เหมาะสมกับการใช้งานในสภาพแวดล้อมต่างๆ ได้ค่ะ</t>
  </si>
  <si>
    <t>จะดูชื่อเครื่องกับรุ่นคอมต้องเข้าตรงไหน</t>
  </si>
  <si>
    <t>ถ้าเห็น .th ต่อท้ายเว็บ แปลว่าอะไร</t>
  </si>
  <si>
    <t>พวกโปรแกรมที่แถมมากับเครื่องตอนซื้อครั้งแรกเรียกว่าอะไร</t>
  </si>
  <si>
    <t>ถ้าจะส่งรูปวาดจากกระดาษเข้าไปในคอมต้องใช้ตัวไหน</t>
  </si>
  <si>
    <t>ถ้าจะใช้งานตามบ้านทั่วไป แนะนำรุ่นไหน</t>
  </si>
  <si>
    <t>สำหรับการใช้งานตามบ้านทั่วไป ดิฉันขอแนะนำ Windows Home ค่ะ
Windows Home เป็นรุ่นพื้นฐานที่ออกแบบมาเพื่อตอบสนองการใช้งานในชีวิตประจำวัน เช่น การท่องอินเทอร์เน็ต การทำงานเอกสาร การดูสื่อบันเทิง และการใช้งานทั่วไปอื่นๆ ค่ะ รุ่นนี้จะมีความง่ายในการใช้งานและมีคุณสมบัติที่จำเป็นครบถ้วนสำหรับการใช้งานตามบ้านค่ะ
หากนักเรียนต้องการข้อมูลเพิ่มเติมเกี่ยวกับรุ่นอื่นๆ หรือต้องการเปรียบเทียบคุณสมบัติ สามารถสอบถามได้เลยนะคะ</t>
  </si>
  <si>
    <t>หากนักเรียนต้องการดูชื่อเครื่องและรุ่นของคอมพิวเตอร์ในระบบปฏิบัติการ Windows สามารถทำตามขั้นตอนดังนี้ค่ะ
คลิกขวา ที่ไอคอน This PC (หรือ My Computer ใน Windows เวอร์ชันเก่า) บนหน้าจอ Desktop
เลือกเมนู Properties (คุณสมบัติ)
จากนั้น หน้าต่าง System จะปรากฏขึ้น ซึ่งจะแสดงข้อมูลต่างๆ ของเครื่องคอมพิวเตอร์ รวมถึง:
Computer name (ชื่อคอมพิวเตอร์)
Windows edition (รุ่นของ Windows ที่ใช้งาน)
System type (ประเภทของระบบ เช่น 64-bit operating system)
ข้อมูลเกี่ยวกับ Processor (CPU) และ Installed RAM (หน่วยความจำ)
นักเรียนต้องการทราบข้อมูลส่วนใดเพิ่มเติมอีกไหมคะ</t>
  </si>
  <si>
    <t>ต้องใช้ความถี่กี่เฮิร์ทถึงจะใช้ windows 11 ได้</t>
  </si>
  <si>
    <t>สำหรับ Windows 11 ระบบต้องการความถี่ของซีพียู (CPU) ที่ 1 GHz ขึ้นไป ค่ะ
นอกจากนี้ Windows 11 ยังมีข้อกำหนดอื่นๆ เพิ่มเติมสำหรับฮาร์ดแวร์ ดังนี้ค่ะ:
ซีพียู: 64 บิต ความถี่ 1 GHz ขึ้นไป และมีแถบประมวลผลไม่น้อยกว่า 2 แกน
หน่วยความจำ (RAM): อย่างน้อย 4 GB
พื้นที่ว่างในฮาร์ดดิสก์: อย่างน้อย 64 GB
เมนบอร์ด: ต้องมี TPM เวอร์ชัน 2.0 ขึ้นไป และใช้ไบออสแบบ UEFI ที่รองรับระบบ Secure Boot
หากซีพียูมีความถี่ 1 GHz ขึ้นไป ก็ถือว่าตรงตามข้อกำหนดเบื้องต้นแล้วค่ะ</t>
  </si>
  <si>
    <t>การเห็น .th ต่อท้ายชื่อเว็บไซต์ บ่งบอกถึง โดเมนเนมระดับประเทศ (Country Code Top-Level Domain - ccTLD) ของ ประเทศไทย ค่ะ
ความหมายของ .th คือ:
บ่งบอกถึงที่ตั้ง: เว็บไซต์นั้นมีต้นกำเนิดหรือเกี่ยวข้องกับประเทศไทย
การใช้งาน: มักใช้โดยองค์กร บริษัท หรือบุคคลที่อยู่ในประเทศไทย หรือให้บริการแก่ผู้ใช้งานในประเทศไทย
โดเมนเนมประเภทนี้ช่วยให้ผู้ใช้งานทราบถึงกลุ่มเป้าหมายหรือที่มาของข้อมูลได้เบื้องต้นค่ะ</t>
  </si>
  <si>
    <t>นักเรียนต้องการนำโปรแกรมที่ใช้บ่อยไปวางไว้ที่ แถบโปรแกรมด่วน (Quick Launch) ซึ่งอยู่บริเวณใกล้กับนาฬิกาบนหน้าจอใช่ไหมคะ
หากเป็นเช่นนั้น สามารถทำได้โดยการ ปักหมุด (Pin) โปรแกรมนั้นๆ ไว้ที่แถบงาน (Taskbar) ค่ะ ซึ่งมีขั้นตอนดังนี้ค่ะ:
ค้นหาโปรแกรม: ไปที่ปุ่ม Start แล้วค้นหาโปรแกรมที่นักเรียนต้องการนำไปวางไว้
คลิกขวาที่โปรแกรม: เมื่อเจอโปรแกรมแล้ว ให้คลิกขวาที่ชื่อโปรแกรมนั้น
เลือก "ปักหมุดไว้ที่แถบงาน": ในเมนูที่ปรากฏขึ้นมา ให้เลือกตัวเลือก "Pin to taskbar" (หรือ "ปักหมุดไว้ที่แถบงาน")
หลังจากทำตามขั้นตอนนี้ โปรแกรมดังกล่าวจะมีไอคอนปรากฏอยู่บนแถบงาน (Taskbar) ใกล้กับนาฬิกา ทำให้สามารถเปิดใช้งานได้อย่างรวดเร็วค่ะ</t>
  </si>
  <si>
    <t>เครื่องสแกนภาพ (Scanner) ทำงานโดยการแปลงภาพที่อยู่บนกระดาษให้กลายเป็นข้อมูลดิจิทัลที่คอมพิวเตอร์สามารถประมวลผลได้ค่ะ
หลักการทำงานโดยทั่วไปมีดังนี้ค่ะ:
การวางเอกสาร: นำเอกสารหรือรูปภาพที่ต้องการสแกน วางลงบนกระจกของเครื่องสแกน
การสร้างแสง: เครื่องสแกนจะสร้างแหล่งกำเนิดแสง (Light Source) ซึ่งอาจเป็นหลอดไฟ LED หรือหลอดนีออน เพื่อส่องสว่างไปยังเอกสาร
การรับแสง: แสงที่สะท้อนจากเอกสารจะถูกส่งไปยังเซ็นเซอร์รับภาพ (Light Sensor) ซึ่งทำหน้าที่แปลงปริมาณแสงที่ได้รับให้เป็นสัญญาณไฟฟ้า
การเคลื่อนที่: หัวสแกน (ซึ่งประกอบด้วยแหล่งกำเนิดแสงและเซ็นเซอร์รับภาพ) จะเคลื่อนที่ผ่านเอกสารอย่างช้าๆ เพื่อเก็บข้อมูลภาพทีละส่วน
การแปลงข้อมูล: สัญญาณไฟฟ้าที่ได้จากเซ็นเซอร์จะถูกแปลงเป็นข้อมูลดิจิทัล โดยข้อมูลนี้จะถูกประมวลผลและสร้างเป็นไฟล์ภาพ (เช่น JPEG, PNG, PDF) ที่สามารถบันทึกลงในคอมพิวเตอร์ได้
ปัจจุบัน เครื่องสแกนภาพหลายรุ่นได้ถูกรวมเข้ากับเครื่องพิมพ์แบบออลอินวัน (All-in-One Printer) เพื่อเพิ่มความสะดวกในการใช้งานค่ะ</t>
  </si>
  <si>
    <t>หากนักเรียนต้องการเปลี่ยนรูปแบบการแสดงไฟล์ในโฟลเดอร์ของระบบปฏิบัติการ Windows สามารถทำได้ดังนี้ค่ะ:
เปิด File Explorer: เปิดหน้าต่าง File Explorer ขึ้นมา (สามารถกดปุ่ม Windows + E บนคีย์บอร์ด)
ไปที่โฟลเดอร์ที่ต้องการ: นำทางไปยังโฟลเดอร์ที่มีไฟล์ที่ต้องการเปลี่ยนรูปแบบการแสดงผล
ใช้เมนู "View": บนแถบเมนูด้านบนของหน้าต่าง File Explorer ให้คลิกที่เมนู "View"
เลือกรูปแบบการแสดงผล: ในเมนูย่อยของ "View" จะมีตัวเลือกสำหรับการแสดงผลไฟล์หลายแบบ เช่น:
Extra large icons, Large icons, Medium icons, Small icons: เพื่อปรับขนาดของไอคอนที่แสดง
List: แสดงเป็นรายการไอคอนขนาดเล็ก
Details: แสดงเป็นรายการพร้อมรายละเอียด เช่น ชื่อไฟล์, ขนาด, วันที่แก้ไข, ประเภทไฟล์
Content: แสดงรายละเอียดและรูปย่อของไฟล์ (ถ้ามี)
นักเรียนสามารถเลือกรูปแบบที่ต้องการได้จากตัวเลือกเหล่านี้ค่ะ</t>
  </si>
  <si>
    <t>การค้นหาไฟล์ในคอมพิวเตอร์ระบบปฏิบัติการ Windows สามารถทำได้หลายวิธีค่ะ วิธีที่ง่ายและนิยมใช้คือ:
ใช้ช่องค้นหาใน File Explorer:
เปิด File Explorer (กดปุ่ม Windows + E)
คลิกที่ช่อง "Search" ซึ่งมักจะอยู่ที่มุมขวาบนของหน้าต่าง
พิมพ์ ชื่อไฟล์ หรือ ส่วนหนึ่งของชื่อไฟล์ ที่ต้องการค้นหาลงไป
ระบบจะแสดงผลการค้นหาที่ตรงกับคำที่ป้อนโดยอัตโนมัติ
ใช้ช่องค้นหาบนแถบงาน (Taskbar):
ที่แถบงาน (Taskbar) ด้านล่างของหน้าจอ จะมีช่อง "Type here to search" หรือไอคอนรูปแว่นขยาย
คลิกที่ช่องนั้น แล้วพิมพ์ ชื่อไฟล์ ที่ต้องการค้นหา
ผลการค้นหาจะปรากฏขึ้นมา รวมถึงไฟล์ที่เกี่ยวข้อง
การใช้เทคนิคการค้นหาขั้นสูง (ใน File Explorer):
หลังจากพิมพ์ชื่อไฟล์ในช่องค้นหาแล้ว นักเรียนสามารถใช้ตัวกรองเพิ่มเติมได้ เช่น ค้นหาตามประเภทไฟล์ (เช่น *.docx, *.pdf) หรือตามวันที่แก้ไข โดยคลิกที่เมนู "Search Tools" ที่ปรากฏขึ้นมาหลังจากการค้นหา
หากนักเรียนต้องการค้นหาไฟล์ในตำแหน่งที่เฉพาะเจาะจง สามารถเข้าไปในโฟลเดอร์นั้นๆ ก่อน แล้วจึงใช้ช่องค้นหาใน File Explorer ค่ะ</t>
  </si>
  <si>
    <t>แสงสว่างที่เหมาะสมขณะใช้คอมพิวเตอร์มีความสำคัญต่อสุขภาพสายตาค่ะ ควรมีลักษณะดังนี้:
แสงสว่างโดยรอบ: ควรมีแสงสว่างเพียงพอในห้อง ไม่มืดหรือสว่างจนเกินไป แสงที่สม่ำเสมอจะช่วยลดความเปรียบต่างระหว่างหน้าจอกับสภาพแวดล้อม
หลีกเลี่ยงแสงสะท้อน: ไม่ควรมีแหล่งกำเนิดแสงที่ส่องสะท้อนเข้าสู่หน้าจอโดยตรง เพราะจะทำให้เกิดแสงสะท้อนที่รบกวนการมองเห็น
ความสว่างหน้าจอ: ปรับความสว่างของหน้าจอให้เหมาะสมกับสภาพแสงในห้อง ไม่ให้สว่างจ้าเกินไปจนแสบตา หรือมืดเกินไปจนต้องเพ่งมอง
การจัดแสงสว่างที่เหมาะสมจะช่วยลดอาการตาล้า ปวดตา และไม่สบายตาจากการใช้งานคอมพิวเตอร์เป็นเวลานานค่ะ</t>
  </si>
  <si>
    <t>1.4.2.2 แสงในการใช้งานคอมพิวเตอร์</t>
  </si>
  <si>
    <t>การค้นหาข้อมูลด้วย Google นั้นทำได้ง่ายและสะดวกค่ะ มีขั้นตอนดังนี้:
เปิดเว็บเบราว์เซอร์: เปิดโปรแกรมเว็บเบราว์เซอร์ที่คุณใช้งาน เช่น Google Chrome, Firefox, Microsoft Edge
ไปที่เว็บไซต์ Google: พิมพ์ www.google.com ในแถบที่อยู่ (Address Bar) แล้วกด Enter
พิมพ์คำค้นหา: ในช่องค้นหา (Search Box) ที่อยู่ตรงกลางหน้าจอ ให้พิมพ์ คำหรือข้อความ ที่เกี่ยวข้องกับข้อมูลที่คุณต้องการค้นหา
กด Enter หรือคลิกปุ่มค้นหา: หลังจากพิมพ์คำค้นหาแล้ว ให้กดปุ่ม Enter บนคีย์บอร์ด หรือคลิกที่ไอคอนรูปแว่นขยาย (Search)
เลือกผลลัพธ์: Google จะแสดงรายการผลการค้นหาที่เกี่ยวข้องกับคำที่คุณป้อนมาให้ เลือกคลิกที่ลิงก์ของเว็บไซต์ที่คิดว่ามีข้อมูลที่คุณต้องการมากที่สุด
หากต้องการผลการค้นหาที่เจาะจงมากขึ้น สามารถใช้เทคนิคการค้นหา เช่น การใส่เครื่องหมายคำพูด ("...") เพื่อค้นหาคำที่ตรงกันทั้งหมด หรือการใช้เครื่องหมายบวก (+) หรือลบ (-) เพื่อรวมหรือยกเว้นคำบางคำได้ค่ะ</t>
  </si>
  <si>
    <t>หากคุณใช้มือถือ Android และต้องการดูคลิปใน YouTube สามารถทำตามขั้นตอนดังนี้ค่ะ
เปิดแอป YouTube: มองหาไอคอนแอป YouTube ซึ่งเป็นรูปสามเหลี่ยมสีแดงบนพื้นหลังสีขาว แล้วแตะเพื่อเปิดแอป
เข้าสู่ระบบ (ถ้าต้องการ): หากคุณมีบัญชี Google และต้องการเข้าสู่ระบบเพื่อใช้งานฟีเจอร์ต่างๆ เช่น การกด Subscribe หรือดูประวัติการดู ให้แตะที่ไอคอนโปรไฟล์ของคุณ (มักจะอยู่มุมขวาบน) แล้วเลือก "Sign in" (ลงชื่อเข้าใช้) จากนั้นกรอกอีเมลและรหัสผ่านบัญชี Google ของคุณ
ค้นหาวิดีโอ: ใช้ช่องค้นหาที่อยู่ด้านบนของแอป (มักจะมีไอคอนรูปแว่นขยาย) พิมพ์ชื่อวิดีโอ ชื่อช่อง หรือคำที่เกี่ยวข้องกับสิ่งที่คุณต้องการค้นหา แล้วแตะที่ไอคอนรูปแว่นขยายเพื่อเริ่มค้นหา
เลือกและดูวิดีโอ: จากรายการผลการค้นหาที่ปรากฏขึ้น ให้แตะที่วิดีโอที่คุณต้องการดู วิดีโอจะเริ่มเล่นโดยอัตโนมัติ
เมื่อดูวิดีโออยู่ คุณยังสามารถโต้ตอบกับวิดีโอนั้นได้ เช่น กด Like, Dislike, แสดงความคิดเห็น, หรือกด Subscribe เพื่อติดตามช่องนั้นๆ ค่ะ</t>
  </si>
  <si>
    <t>Themes ใน Windows คือชุดการตั้งค่าที่ช่วยปรับเปลี่ยนรูปลักษณ์โดยรวมของระบบปฏิบัติการให้มีความสวยงามและเป็นเอกลักษณ์ค่ะ
การปรับแต่ง Themes จะครอบคลุมถึง:
ภาพพื้นหลัง (Background): สามารถเปลี่ยนภาพพื้นหลังเดสก์ท็อปได้
สี (Colors): ปรับสีของแถบงาน (Taskbar), เมนู Start, และหน้าต่างต่างๆ
เสียง (Sounds): เปลี่ยนเสียงแจ้งเตือนของระบบในเหตุการณ์ต่างๆ เช่น เสียงเมื่อเปิดเครื่อง หรือเสียงเมื่อมีข้อความเข้า
เคอร์เซอร์เมาส์ (Mouse Cursor): ปรับเปลี่ยนรูปทรง ขนาด และสีของตัวชี้เมาส์
การใช้ Themes ช่วยให้คุณสามารถปรับแต่งหน้าตาของ Windows ให้ตรงกับความชอบส่วนตัว หรือสร้างบรรยากาศการใช้งานที่แตกต่างกันได้ค่ะ</t>
  </si>
  <si>
    <t>โปรแกรมที่ติดตั้งมาพร้อมกับคอมพิวเตอร์เครื่องใหม่จากโรงงาน มักจะเรียกว่า ซอฟต์แวร์ที่ติดตั้งมาล่วงหน้า (Pre-installed Software) หรือ Bloatware ค่ะ
ซอฟต์แวร์ที่ติดตั้งมาล่วงหน้า (Pre-installed Software): เป็นคำกลางๆ ที่หมายถึงโปรแกรมทุกชนิดที่ผู้ผลิตคอมพิวเตอร์ได้ติดตั้งมาให้ตั้งแต่แรก ซึ่งอาจรวมถึงระบบปฏิบัติการ (เช่น Windows), โปรแกรมพื้นฐานที่จำเป็น, ซอฟต์แวร์ทดลองใช้, หรือโปรแกรมจากผู้ผลิตรายอื่นที่ร่วมมือกับผู้ผลิตคอมพิวเตอร์
Bloatware: เป็นคำที่ใช้เรียกซอฟต์แวร์ที่ติดตั้งมาล่วงหน้า ซึ่งผู้ใช้ส่วนใหญ่มักจะมองว่าเป็นโปรแกรมที่ไม่จำเป็น ใช้พื้นที่จัดเก็บมากเกินไป และอาจส่งผลให้คอมพิวเตอร์ทำงานช้าลงได้ โปรแกรมเหล่านี้มักจะเป็นซอฟต์แวร์ทดลองใช้ (Trialware) หรือโปรแกรมที่ผู้ผลิตต้องการโปรโมท
หากคุณไม่ต้องการโปรแกรมเหล่านี้ สามารถถอนการติดตั้ง (Uninstall) ออกได้ เพื่อเพิ่มพื้นที่ว่างและทำให้คอมพิวเตอร์ทำงานได้เร็วขึ้นค่ะ</t>
  </si>
  <si>
    <t>หากคุณต้องการนำรูปวาดจากกระดาษเข้าไปในคอมพิวเตอร์ คุณสามารถใช้อุปกรณ์ที่เรียกว่า เครื่องสแกนภาพ (Scanner) ค่ะ
เครื่องสแกนภาพจะทำหน้าที่แปลงภาพถ่ายหรือเอกสารที่เป็นกระดาษให้กลายเป็นไฟล์ข้อมูลดิจิทัลในคอมพิวเตอร์ โดยมีหลักการทำงานคือการใช้แสงส่องไปยังเอกสารและแปลงข้อมูลแสงนั้นให้เป็นสัญญาณดิจิทัล
นอกจากนี้ หากเครื่องพิมพ์ของคุณเป็นแบบ เครื่องพิมพ์แบบออลอินวัน (All in One Printer) ซึ่งมักจะรวมฟังก์ชันของเครื่องพิมพ์, เครื่องสแกนภาพ, และบางครั้งก็รวมเครื่องถ่ายเอกสารไว้ด้วยกัน ก็สามารถใช้ฟังก์ชันการสแกนของเครื่องพิมพ์นั้นได้เช่นกันค่ะ</t>
  </si>
  <si>
    <t>เมนเฟรมคอมพิวเตอร์ (Mainframe Computer) ถูกออกแบบมาเพื่อรองรับการทำงานที่ซับซ้อนและมีปริมาณข้อมูลมหาศาลค่ะ
งานที่เมนเฟรมคอมพิวเตอร์เหมาะสำหรับ ได้แก่:
การประมวลผลธุรกรรมจำนวนมาก: เช่น การทำรายการทางการเงินของธนาคาร ระบบจองตั๋วเครื่องบิน หรือระบบการขายขององค์กรขนาดใหญ่ ที่ต้องรองรับการทำงานพร้อมกันของผู้ใช้จำนวนมาก
การจัดการฐานข้อมูลขนาดใหญ่: สามารถจัดเก็บและประมวลผลข้อมูลจำนวนมหาศาลได้อย่างมีประสิทธิภาพ
การประมวลผลแบบ Batch Processing: การประมวลผลข้อมูลชุดใหญ่ที่ไม่ได้ต้องการผลลัพธ์แบบทันที เช่น การคำนวณเงินเดือน การประมวลผลใบแจ้งหนี้
โดยทั่วไป เมนเฟรมคอมพิวเตอร์จะถูกใช้งานในองค์กรขนาดใหญ่ เช่น ธนาคาร สถาบันการเงิน บริษัทประกันภัย หรือหน่วยงานราชการ ที่ต้องการความน่าเชื่อถือ ความปลอดภัย และประสิทธิภาพในการประมวลผลข้อมูลจำนวนมากค่ะ</t>
  </si>
  <si>
    <t>การจัดเรียงไฟล์ตาม "Item type" ในระบบปฏิบัติการ Windows หมายถึงการจัดกลุ่มไฟล์โดยพิจารณาจาก ประเภทของไฟล์ ค่ะ
เมื่อคุณเลือกจัดเรียงไฟล์ตาม Item type ไฟล์ต่างๆ จะถูกจัดกลุ่มตามชนิดของโปรแกรมที่สร้างไฟล์นั้นๆ หรือตามลักษณะการใช้งาน เช่น:
เอกสาร: ไฟล์ที่สร้างจากโปรแกรมประมวลผลคำ (เช่น .docx, .txt)
รูปภาพ: ไฟล์รูปภาพ (เช่น .jpg, .png)
วิดีโอ: ไฟล์วิดีโอ (เช่น .mp4, .avi)
เพลง: ไฟล์เสียง (เช่น .mp3, .wav)
โปรแกรม: ไฟล์ที่ใช้ในการติดตั้งหรือเรียกใช้โปรแกรม (เช่น .exe)
การจัดเรียงแบบนี้ช่วยให้คุณสามารถค้นหาไฟล์ประเภทที่ต้องการได้อย่างรวดเร็ว โดยเฉพาะเมื่อมีไฟล์หลายประเภทอยู่ในโฟลเดอร์เดียวกันค่ะ</t>
  </si>
  <si>
    <t>การปรับระดับเสียงของคอมพิวเตอร์สามารถทำได้ง่ายๆ ดังนี้ค่ะ
คลิกที่ไอคอนลำโพง: บริเวณมุมขวาล่างของแถบงาน (Taskbar)
ลากแถบสไลด์: จะปรากฏแถบสไลด์ขึ้นมา ให้คุณลากแถบนี้ไปทางขวาเพื่อเพิ่มระดับเสียงให้ดังขึ้น หรือลากไปทางซ้ายเพื่อลดระดับเสียงให้เบาลงค่ะ
หากต้องการปรับแต่งเสียงเพิ่มเติม สามารถเข้าไปที่ Settings &gt; System &gt; Sound เพื่อตั้งค่าขั้นสูงได้ค่ะ</t>
  </si>
  <si>
    <t>การค้นหาด้วยภาพสามารถทำได้หลายวิธีค่ะ โดยทั่วไปแล้วจะใช้ผ่านเครื่องมือค้นหาหรือแอปพลิเคชันที่รองรับฟังก์ชันนี้
การค้นหาด้วยภาพผ่าน Google Lens (บนอุปกรณ์เคลื่อนที่):
เปิดแอป Google บนสมาร์ทโฟนหรือแท็บเล็ตของคุณ
ในแถบค้นหา แตะที่ไอคอน "กล้อง" (Google Lens)
คุณสามารถเลือก ถ่ายภาพวัตถุ ที่ต้องการค้นหา หรือ เลือกรูปภาพจากคลังภาพ ของคุณ
Google Lens จะวิเคราะห์ภาพและแสดงผลลัพธ์ที่เกี่ยวข้อง เช่น ข้อมูลเกี่ยวกับวัตถุนั้น สินค้าที่คล้ายกัน หรือรูปภาพที่คล้ายกันค่ะ
การค้นหาด้วยภาพผ่านเว็บไซต์ Google (บนคอมพิวเตอร์):
ไปที่เว็บไซต์ images.google.com
ในช่องค้นหา จะมีไอคอน "กล้อง" ปรากฏขึ้น คลิกที่ไอคอนนั้น
คุณสามารถเลือก "อัปโหลดไฟล์" เพื่อเลือกรูปภาพจากคอมพิวเตอร์ของคุณ หรือ "วาง URL รูปภาพ" หากคุณมีที่อยู่ของรูปภาพบนอินเทอร์เน็ต
Google จะแสดงผลลัพธ์การค้นหาที่เกี่ยวข้องกับรูปภาพนั้นๆ ค่ะ
ฟังก์ชันนี้มีประโยชน์มากในการค้นหาข้อมูลเกี่ยวกับสิ่งของที่ไม่รู้จัก ค้นหาสินค้า หรือหารูปภาพต้นฉบับค่ะ</t>
  </si>
  <si>
    <t>การเลือกไฟล์หลายไฟล์พร้อมกันในระบบปฏิบัติการ Windows สามารถทำได้หลายวิธีค่ะ ขึ้นอยู่กับว่าคุณต้องการเลือกไฟล์แบบใด
การเลือกไฟล์ที่อยู่ติดกัน:
คลิกที่ไฟล์แรกที่คุณต้องการเลือก
กดปุ่ม Shift บนคีย์บอร์ดค้างไว้
ขณะที่ยังกดปุ่ม Shift อยู่ ให้คลิกที่ไฟล์สุดท้ายในกลุ่มที่คุณต้องการเลือก
ไฟล์ทั้งหมดที่อยู่ระหว่างไฟล์แรกและไฟล์สุดท้ายจะถูกเลือกโดยอัตโนมัติ
การเลือกไฟล์ที่ไม่ติดกัน:
กดปุ่ม Ctrl บนคีย์บอร์ดค้างไว้
ขณะที่ยังกดปุ่ม Ctrl อยู่ ให้ใช้เมาส์คลิกเลือกไฟล์แต่ละไฟล์ที่คุณต้องการ
ไฟล์ที่คุณคลิกจะถูกเลือกทีละไฟล์
การเลือกไฟล์ทั้งหมดในโฟลเดอร์:
เปิดโฟลเดอร์ที่มีไฟล์ที่คุณต้องการ
กดปุ่ม Ctrl + A บนคีย์บอร์ดพร้อมกัน
ไฟล์ทั้งหมดในโฟลเดอร์นั้นจะถูกเลือก
การเลือกไฟล์โดยการลากเมาส์ (Marquee Selection):
คลิกที่พื้นที่ว่างในโฟลเดอร์
กดปุ่มเมาส์ค้างไว้แล้วลากเป็นกรอบสี่เหลี่ยมคลุมไฟล์ที่คุณต้องการเลือก
ไฟล์ทั้งหมดที่อยู่ในกรอบที่คุณลากจะถูกเลือก
หลังจากเลือกไฟล์ที่ต้องการแล้ว คุณสามารถดำเนินการต่างๆ เช่น คัดลอก ย้าย หรือลบไฟล์เหล่านั้นได้ค่ะ</t>
  </si>
  <si>
    <t>ข้อมูลในคอมพิวเตอร์สามารถแบ่งออกเป็นหลายประเภท ขึ้นอยู่กับลักษณะและรูปแบบการจัดเก็บค่ะ โดยทั่วไปแล้ว ข้อมูลสามารถแบ่งได้ดังนี้
ข้อมูลตัวอักษร (Text Data):
ประกอบด้วยตัวอักษร ตัวเลข สัญลักษณ์พิเศษต่างๆ เช่น ชื่อ, ที่อยู่, รหัสไปรษณีย์, ข้อความในเอกสาร
ตัวอย่างไฟล์: ไฟล์เอกสาร (.doc, .txt), ไฟล์สเปรดชีต (.xls, .csv)
ข้อมูลตัวเลข (Numeric Data):
เป็นข้อมูลที่ใช้ในการคำนวณ หรือแสดงปริมาณ เช่น จำนวนสินค้า ราคา คะแนน อายุ
ตัวอย่างไฟล์: ไฟล์สเปรดชีต (.xls), ไฟล์ฐานข้อมูล (.mdb, .sql)
ข้อมูลรูปภาพ (Image Data):
เป็นข้อมูลที่แสดงผลในรูปแบบภาพ เช่น ภาพถ่าย ภาพวาด กราฟิก
ตัวอย่างไฟล์: .jpg, .png, .gif, .bmp
ข้อมูลเสียง (Audio Data):
เป็นข้อมูลที่บันทึกเสียง เช่น เพลง เสียงพูด เสียงประกอบ
ตัวอย่างไฟล์: .mp3, .wav, .aac
ข้อมูลวิดีโอ (Video Data):
เป็นข้อมูลที่รวมภาพเคลื่อนไหวและเสียงเข้าด้วยกัน เช่น ภาพยนตร์ คลิปวิดีโอ
ตัวอย่างไฟล์: .mp4, .avi, .mov, .wmv
ข้อมูลประเภทอื่นๆ:
ข้อมูลวันที่และเวลา (Date/Time Data): ใช้บันทึกวันที่และเวลา
ข้อมูลตรรกะ (Boolean Data): เป็นข้อมูลที่มีค่าเพียงสองค่า คือ จริง (True) หรือ เท็จ (False)
ข้อมูลเหล่านี้จะถูกจัดเก็บในรูปแบบดิจิทัลและประมวลผลโดยคอมพิวเตอร์ค่ะ</t>
  </si>
  <si>
    <t>เมนู Personalize ในระบบปฏิบัติการ Windows ใช้สำหรับปรับแต่งรูปลักษณ์และหน้าตาของระบบปฏิบัติการให้ตรงตามความต้องการของผู้ใช้ค่ะ
โดยทั่วไปแล้ว เมนูนี้จะช่วยให้คุณสามารถปรับเปลี่ยนการตั้งค่าต่างๆ ได้ดังนี้:
เปลี่ยนภาพพื้นหลัง (Background): สามารถเลือกใช้รูปภาพ สีพื้น หรือสร้างสไลด์โชว์ภาพได้
ปรับแต่งสี (Colors): เลือกสีหลักของระบบ ปรับโหมดเป็นแบบสว่าง (Light) หรือมืด (Dark) และเลือกสีเน้น (Accent color)
ตั้งค่าหน้าจอล็อก (Lock Screen): เลือกภาพพื้นหลังสำหรับหน้าจอล็อก หรือกำหนดแอปที่แสดงสถานะต่างๆ
ปรับแต่งธีม (Themes): เลือกชุดการตั้งค่าที่รวมภาพพื้นหลัง สี เสียง และลักษณะของเมาส์ไว้ด้วยกัน
จัดการไอคอนบนเดสก์ท็อป (Desktop Icon Settings): เลือกแสดงหรือซ่อนไอคอนหลัก เช่น This PC, Recycle Bin
ปรับแต่ง Start Menu และ Taskbar: ตั้งค่าการแสดงผลของเมนู Start และตำแหน่ง รวมถึงการจัดเรียงไอคอนบน Taskbar
การปรับแต่งเหล่านี้จะช่วยให้คอมพิวเตอร์ของคุณมีหน้าตาที่สวยงามและใช้งานได้สะดวกสบายยิ่งขึ้นค่ะ</t>
  </si>
  <si>
    <t>อีเมลมีความสำคัญในการใช้งานคอมพิวเตอร์และเทคโนโลยีสารสนเทศด้วยเหตุผลดังนี้ค่ะ:
การสื่อสารอย่างเป็นทางการ: อีเมลเป็นช่องทางหลักในการติดต่อสื่อสารที่เป็นทางการ เช่น การส่งเอกสารสำคัญ การสมัครงาน หรือการแจ้งข่าวสารต่างๆ
ความรวดเร็ว: การส่งอีเมลสามารถทำได้ทันที ทำให้การสื่อสารเป็นไปอย่างรวดเร็ว ไม่ต้องรอการจัดส่งเหมือนจดหมายทั่วไป
การจัดเก็บเป็นหลักฐาน: อีเมลสามารถใช้เป็นหลักฐานในการสื่อสารได้ เนื่องจากมีข้อมูลผู้ส่ง ผู้รับ วันที่ และเนื้อหาที่ชัดเจน ซึ่งสามารถอ้างอิงได้ในภายหลัง
การส่งไฟล์แนบ: สามารถแนบไฟล์เอกสาร รูปภาพ หรือไฟล์อื่นๆ ไปพร้อมกับอีเมลได้ ทำให้การส่งข้อมูลทำได้สะดวกและมีประสิทธิภาพ
การเข้าถึงบริการต่างๆ: บัญชีอีเมลมักใช้ในการลงทะเบียนเพื่อเข้าถึงบริการออนไลน์อื่นๆ เช่น โซเชียลมีเดีย หรือเว็บไซต์ต่างๆ
หากนักเรียนต้องการทราบรายละเอียดเพิ่มเติมเกี่ยวกับการใช้งานอีเมล หรือหัวข้ออื่นๆ สามารถสอบถามได้เลยนะคะ</t>
  </si>
  <si>
    <t>การเปลี่ยนภาพพื้นหลังบนระบบปฏิบัติการ Windows สามารถทำได้ตามขั้นตอนดังนี้ค่ะ:
คลิกขวาที่ Desktop: คลิกขวาที่พื้นที่ว่างบนหน้าจอ Desktop
เลือก Personalize: จากเมนูที่ปรากฏขึ้น ให้เลือก "Personalize"
เลือก Background: ในหน้าต่าง Personalization ที่เปิดขึ้นมา ให้เลือกเมนู "Background"
เลือกรูปแบบภาพ: คุณสามารถเลือกรูปแบบได้ดังนี้
Picture: เลือกรูปภาพที่ต้องการจากที่ระบบมีให้ หรือเลือก "Browse" เพื่อหารูปภาพจากเครื่องของคุณ
Solid color: เลือกสีพื้นหลังแบบสีเดียว
Slideshow: เลือกโฟลเดอร์ที่มีรูปภาพหลายๆ รูป เพื่อให้สลับเปลี่ยนเป็นภาพพื้นหลังไปเรื่อยๆ
เมื่อเลือกรูปภาพหรือรูปแบบที่ต้องการแล้ว ภาพพื้นหลังบน Desktop ของคุณจะเปลี่ยนไปทันทีค่ะ</t>
  </si>
  <si>
    <t>ความสำคัญต่อการติดตั้งซอฟต์แวร์ประยุกต์คือ</t>
  </si>
  <si>
    <t>เมนู Sort by คืออะไร</t>
  </si>
  <si>
    <t>นักวิเคราะห์ระบบมีทำหน้าที่อะไร</t>
  </si>
  <si>
    <t>Cloud Computing คืออะไร</t>
  </si>
  <si>
    <t>โปรแกรมอรรถประโยชน์คือโปรแกรมอะไร</t>
  </si>
  <si>
    <t>Windows 11 ต้องการ RAM ขั้นต่ำกี่ GB</t>
  </si>
  <si>
    <t>iPhone ใช้ระบบปฏิบัติการชื่อว่าอะไร</t>
  </si>
  <si>
    <t>สำหรับระบบปฏิบัติการ Windows 10 นั้น ต้องการหน่วยความจำ (RAM) อย่างน้อย 2 GB ค่ะ
นอกจากนี้ ยังมีข้อกำหนดฮาร์ดแวร์อื่นๆ ที่ควรทราบสำหรับการติดตั้ง Windows 10 ดังนี้ค่ะ:
ซีพียู: 64 บิต ความถี่ 1 GHz ขึ้นไป
พื้นที่ว่างในฮาร์ดดิสก์: ไม่ต่ำกว่า 32 GB
การมี RAM ที่เพียงพอจะช่วยให้คอมพิวเตอร์ทำงานได้ราบรื่นขึ้นค่ะ</t>
  </si>
  <si>
    <t>การเชื่อมต่ออินเทอร์เน็ตแบบส่วนบุคคล หมายถึง การเชื่อมต่อที่ผู้ใช้ทั่วไปนิยมใช้ในชีวิตประจำวันค่ะ
ลักษณะของการเชื่อมต่ออินเทอร์เน็ตแบบส่วนบุคคล ได้แก่:
การเชื่อมต่อผ่าน Wi-Fi: เป็นการเชื่อมต่อแบบไร้สายที่พบได้ทั่วไปตามบ้านหรือสถานที่สาธารณะ
การเชื่อมต่อผ่านเครือข่ายมือถือ (Mobile Network): เช่น การใช้ 4G หรือ 5G ผ่านซิมการ์ดบนสมาร์ทโฟนหรืออุปกรณ์ที่รองรับ
การเชื่อมต่อประเภทนี้มักจะไม่มีการรับประกันคุณภาพในด้านความเร็ว (QoS: Quality of Service) ซึ่งความเร็วอาจเปลี่ยนแปลงได้ตามปัจจัยต่างๆ เช่น จำนวนผู้ใช้งานในขณะนั้น หรือระยะทางค่ะ</t>
  </si>
  <si>
    <t>คอมพิวเตอร์ที่ใช้ทั่วไป หมายถึง เครื่องคอมพิวเตอร์ที่ถูกออกแบบมาเพื่อใช้งานในชีวิตประจำวันทั่วไปค่ะ
ลักษณะของคอมพิวเตอร์ใช้งานทั่วไป ได้แก่:
คอมพิวเตอร์ตั้งโต๊ะ (Desktop Computer): เป็นเครื่องที่ประกอบด้วยจอภาพ เคส และอุปกรณ์ต่อพ่วงต่างๆ แยกกัน
คอมพิวเตอร์พกพา (Laptop/Notebook): เป็นเครื่องที่รวมส่วนประกอบต่างๆ ไว้ในตัวเดียว ทำให้สะดวกในการพกพา
คอมพิวเตอร์ประเภทนี้เหมาะสำหรับงานทั่วไป เช่น การพิมพ์เอกสาร การท่องอินเทอร์เน็ต การดูสื่อบันเทิง หรือการใช้งานโปรแกรมพื้นฐานต่างๆ ค่ะ</t>
  </si>
  <si>
    <t>ลิขสิทธิ์ Windows แบบ OEM (Original Equipment Manufacturer) คือ ลิขสิทธิ์ของ Windows ที่ติดตั้งมาพร้อมกับคอมพิวเตอร์เครื่องใหม่จากโรงงานผู้ผลิตค่ะ
ลักษณะสำคัญของลิขสิทธิ์แบบ OEM มีดังนี้ค่ะ:
ติดตั้งมาพร้อมเครื่อง: จะถูกติดตั้งมาให้พร้อมใช้งานทันทีเมื่อซื้อคอมพิวเตอร์
ผูกติดกับฮาร์ดแวร์: ลิขสิทธิ์นี้จะผูกติดกับเมนบอร์ดของเครื่องคอมพิวเตอร์ที่ติดตั้งมาครั้งแรกเท่านั้น ไม่สามารถย้ายไปติดตั้งบนเครื่องอื่นได้ แม้ว่าจะเลิกใช้งานเครื่องเดิมแล้วก็ตาม
ไม่มีแผ่นติดตั้ง: โดยทั่วไปจะไม่มีแผ่นติดตั้ง Windows มาให้ แต่จะมีไฟล์สำหรับคืนค่าระบบให้กลับไปเป็นค่าเริ่มต้นจากโรงงาน (Factory Recovery)
ลิขสิทธิ์แบบ OEM มีข้อจำกัดในการใช้งานที่แตกต่างจากลิขสิทธิ์แบบอื่นๆ ค่ะ</t>
  </si>
  <si>
    <t>ไอคอนคอมพิวเตอร์บนเดสก์ท็อป (Desktop) ในระบบปฏิบัติการ Windows มีชื่อเรียกว่า "This PC" หรือ "Computer" ค่ะ
หน้าที่หลักของไอคอนนี้คือ:
เข้าถึงข้อมูลและไดรฟ์ต่างๆ: เมื่อดับเบิลคลิกที่ไอคอนนี้ จะเป็นการเปิดหน้าต่าง File Explorer เพื่อให้คุณสามารถเข้าถึงและจัดการไฟล์ โฟลเดอร์ รวมถึงไดรฟ์ต่างๆ ที่ติดตั้งอยู่ในเครื่องคอมพิวเตอร์ของคุณ เช่น ไดรฟ์ C:, D:, หรือไดรฟ์อื่นๆ ที่มี
ดูข้อมูลระบบ: คุณสามารถคลิกขวาที่ไอคอนนี้แล้วเลือก "Properties" เพื่อดูข้อมูลเกี่ยวกับระบบปฏิบัติการที่ใช้งาน, CPU, RAM และข้อมูลฮาร์ดแวร์อื่นๆ ของเครื่องได้ค่ะ</t>
  </si>
  <si>
    <t>ไมโครคอมพิวเตอร์ หมายถึง คอมพิวเตอร์ส่วนบุคคล (Personal Computer - PC) หรือแล็ปท็อป (Laptop) ที่เราใช้งานกันทั่วไปในชีวิตประจำวันค่ะ
ลักษณะเด่นของไมโครคอมพิวเตอร์คือ:
ขนาดเล็ก: มีขนาดเล็กกว่าคอมพิวเตอร์ประเภทอื่น เช่น เมนเฟรม หรือมินิคอมพิวเตอร์
ราคาเข้าถึงง่าย: มีราคาที่ผู้ใช้งานทั่วไปสามารถซื้อหามาใช้งานได้
ใช้งานส่วนบุคคล: ถูกออกแบบมาเพื่อการใช้งานโดยผู้ใช้เพียงคนเดียว หรือผู้ใช้จำนวนไม่มาก
ไมโครคอมพิวเตอร์เป็นประเภทคอมพิวเตอร์ที่ได้รับความนิยมมากที่สุดในปัจจุบันค่ะ</t>
  </si>
  <si>
    <t>แถบระบบที่อยู่มุมขวาล่างของหน้าจอเดสก์ท็อปในระบบปฏิบัติการ Windows เรียกว่า "Notification Area" หรือ "System Tray" ค่ะ
แถบนี้จะแสดงข้อมูลสถานะต่างๆ ที่สำคัญและไอคอนของโปรแกรมที่ทำงานอยู่เบื้องหลัง เช่น:
เวลาและวันที่: แสดงเวลาปัจจุบันและวันที่
ไอคอนเสียง: ควบคุมระดับเสียงและสถานะเสียงของระบบ
ไอคอนเครือข่าย: แสดงสถานะการเชื่อมต่ออินเทอร์เน็ต (Wi-Fi หรือสาย LAN)
ไอคอนแบตเตอรี่: (สำหรับแล็ปท็อป) แสดงระดับแบตเตอรี่
ไอคอนโปรแกรมที่ทำงานอยู่เบื้องหลัง: เช่น ไอคอนของโปรแกรม Antivirus, โปรแกรมอัปเดต, หรือโปรแกรมอื่นๆ ที่ทำงานโดยอัตโนมัติ
คุณสามารถคลิกที่ไอคอนต่างๆ ในแถบนี้เพื่อดูรายละเอียดหรือปรับแต่งการตั้งค่าที่เกี่ยวข้องได้ค่ะ</t>
  </si>
  <si>
    <t>ระบบปฏิบัติการมีความสำคัญอย่างยิ่งต่อการติดตั้งซอฟต์แวร์ประยุกต์ (Application Software) ด้วยเหตุผลดังนี้ค่ะ:
เป็นตัวกลาง: ระบบปฏิบัติการทำหน้าที่เป็นตัวกลางระหว่างฮาร์ดแวร์ของคอมพิวเตอร์และซอฟต์แวร์ประยุกต์ ซอฟต์แวร์ประยุกต์จะสื่อสารและสั่งงานผ่านระบบปฏิบัติการ
รองรับการทำงาน: ระบบปฏิบัติการเป็นผู้จัดสรรทรัพยากรต่างๆ เช่น หน่วยความจำ (RAM) และหน่วยประมวลผลกลาง (CPU) ให้กับซอฟต์แวร์ประยุกต์ เพื่อให้สามารถทำงานได้อย่างราบรื่น
จัดการไฟล์และไดรฟ์: ระบบปฏิบัติการมีหน้าที่จัดการระบบไฟล์และไดรฟ์ต่างๆ ทำให้ซอฟต์แวร์ประยุกต์สามารถอ่านและเขียนข้อมูลไปยังตำแหน่งที่ต้องการได้
สร้างสภาพแวดล้อม: ระบบปฏิบัติการสร้างสภาพแวดล้อมที่จำเป็นสำหรับการทำงานของซอฟต์แวร์ประยุกต์ หากไม่มีระบบปฏิบัติการที่เหมาะสม ซอฟต์แวร์ประยุกต์ก็จะไม่สามารถทำงานได้ค่ะ</t>
  </si>
  <si>
    <t>เมนู "Sort by" ในระบบปฏิบัติการ Windows ใช้สำหรับ จัดเรียงลำดับไฟล์และโฟลเดอร์ ที่แสดงอยู่ในหน้าต่าง File Explorer หรือบน Desktop ค่ะ
เมื่อคุณคลิกขวาที่พื้นที่ว่างในโฟลเดอร์หรือบน Desktop แล้วเลือก "Sort by" คุณจะเห็นตัวเลือกต่างๆ สำหรับการจัดเรียง เช่น:
Name: จัดเรียงตามชื่อไฟล์หรือโฟลเดอร์ (จาก ก-ฮ หรือ A-Z)
Size: จัดเรียงตามขนาดของไฟล์ (จากเล็กไปใหญ่ หรือใหญ่ไปเล็ก)
Item type: จัดเรียงตามประเภทของไฟล์ (เช่น เอกสาร, รูปภาพ, วิดีโอ)
Date modified: จัดเรียงตามวันที่และเวลาที่มีการแก้ไขล่าสุด
การใช้เมนูนี้ช่วยให้คุณค้นหาและจัดการไฟล์ต่างๆ ได้อย่างเป็นระเบียบและรวดเร็วยิ่งขึ้นค่ะ</t>
  </si>
  <si>
    <t>โดเมนเนมแบบ 2 ระดับ หมายถึง รูปแบบของชื่อโดเมนที่ประกอบด้วย ชื่อโดเมน (Domain Name) และ นามสกุลโดเมน (Top-Level Domain - TLD) ค่ะ
ตัวอย่างเช่น:
ใน google.com
google คือ ชื่อโดเมน
.com คือ นามสกุลโดเมน (TLD)
รูปแบบนี้เป็นที่นิยมและเข้าใจง่ายที่สุดในการระบุเว็บไซต์ต่างๆ บนอินเทอร์เน็ตค่ะ</t>
  </si>
  <si>
    <t>อินเทอร์เน็ตบ้านโดยทั่วไปมีลักษณะการให้บริการดังนี้ค่ะ:
การเชื่อมต่อส่วนบุคคล: เป็นการเชื่อมต่อสำหรับผู้ใช้งานทั่วไปตามบ้านเรือน โดยมักใช้เทคโนโลยี เช่น
Broadband: ผ่านสายเคเบิล (Cable Internet) หรือสายไฟเบอร์ออปติก (Fiber Optic Internet) ซึ่งให้ความเร็วสูง
Wi-Fi: การเชื่อมต่อแบบไร้สายภายในบ้านที่รับสัญญาณจากเราเตอร์
Mobile Network: การเชื่อมต่อผ่านเครือข่ายโทรศัพท์มือถือ (เช่น 4G, 5G) ผ่านอุปกรณ์อย่างโมเด็มหรือเราเตอร์ที่รองรับ
ไม่มีการรับประกันคุณภาพ (QoS): โดยทั่วไปแล้ว อินเทอร์เน็ตบ้านจะไม่มีการรับประกันคุณภาพในด้านความเร็ว (Quality of Service - QoS) ซึ่งหมายความว่าความเร็วในการเชื่อมต่ออาจมีการเปลี่ยนแปลงได้ ขึ้นอยู่กับปัจจัยต่างๆ เช่น จำนวนผู้ใช้งานในพื้นที่ หรือระยะทางจากชุมสาย
ดังนั้น ความเร็วที่ได้รับอาจไม่คงที่ตลอดเวลาเมื่อเทียบกับการเชื่อมต่อแบบองค์กรค่ะ</t>
  </si>
  <si>
    <t>นักวิเคราะห์ระบบ (System Analyst) มีหน้าที่หลักในการ วิเคราะห์ความต้องการและออกแบบระบบคอมพิวเตอร์ เพื่อตอบสนองความต้องการทางธุรกิจหรือองค์กรค่ะ
หน้าที่สำคัญของนักวิเคราะห์ระบบ ได้แก่:
การรวบรวมและวิเคราะห์ความต้องการ: พูดคุยกับผู้ใช้งานหรือผู้เกี่ยวข้องเพื่อทำความเข้าใจปัญหาและความต้องการทางธุรกิจอย่างละเอียด
การออกแบบระบบ: แปลงความต้องการที่ได้มาเป็นการออกแบบระบบสารสนเทศ โดยกำหนดโครงสร้างข้อมูล กระบวนการทำงาน และส่วนต่อประสานกับผู้ใช้ (User Interface)
การจัดทำเอกสาร: จัดทำเอกสารข้อกำหนดของระบบ (System Requirements Specification) และเอกสารการออกแบบต่างๆ
การประสานงาน: ทำหน้าที่เป็นตัวกลางระหว่างผู้ใช้งานและทีมพัฒนา (โปรแกรมเมอร์) เพื่อให้แน่ใจว่าระบบที่พัฒนามีความถูกต้องตรงตามความต้องการ
การทดสอบระบบ: อาจมีส่วนร่วมในการวางแผนและทดสอบระบบเพื่อให้มั่นใจว่าระบบทำงานได้ตามที่ออกแบบไว้
กล่าวโดยสรุป นักวิเคราะห์ระบบเปรียบเสมือนสถาปนิกของระบบซอฟต์แวร์ ที่วางแผนและออกแบบโครงสร้างก่อนที่โปรแกรมเมอร์จะลงมือสร้างค่ะ</t>
  </si>
  <si>
    <t>oud Computing หรือ การประมวลผลแบบคลาวด์ คือ การให้บริการทรัพยากรคอมพิวเตอร์ผ่านอินเทอร์เน็ต ค่ะ
ลักษณะสำคัญของการให้บริการคลาวด์ ได้แก่:
การเข้าถึงแบบออนไลน์: ผู้ใช้สามารถเข้าถึงทรัพยากรต่างๆ เช่น พื้นที่จัดเก็บข้อมูล (Storage), ซอฟต์แวร์ (Software), หรือโครงสร้างพื้นฐาน (Infrastructure) ได้จากทุกที่ทุกเวลาผ่านการเชื่อมต่ออินเทอร์เน็ต
ความยืดหยุ่นและขยายตัวได้: สามารถปรับเพิ่มหรือลดทรัพยากรได้ตามความต้องการใช้งาน ทำให้ประหยัดค่าใช้จ่ายและเพิ่มประสิทธิภาพ
การลดภาระด้านฮาร์ดแวร์: ผู้ใช้ไม่จำเป็นต้องลงทุนซื้อและดูแลรักษาฮาร์ดแวร์จำนวนมากเอง เนื่องจากผู้ให้บริการคลาวด์จะเป็นผู้จัดการส่วนนี้</t>
  </si>
  <si>
    <t>โปรแกรมอรรถประโยชน์ (Utility Software) คือ โปรแกรมที่ช่วยในการจัดการ บำรุงรักษา และเพิ่มประสิทธิภาพของระบบคอมพิวเตอร์ ค่ะ
หน้าที่หลักของโปรแกรมอรรถประโยชน์ ได้แก่:
การจัดการระบบ: ช่วยในการจัดการไฟล์และโฟลเดอร์ เช่น การบีบอัดไฟล์ (File Compression), การค้นหาไฟล์ (File Search)
การบำรุงรักษา: ทำหน้าที่ตรวจสอบและแก้ไขข้อผิดพลาดของระบบ เช่น โปรแกรมสแกนไวรัส (Antivirus), โปรแกรมจัดเรียงข้อมูลบนฮาร์ดดิสก์ (Disk Defragmenter)
การเพิ่มประสิทธิภาพ: ช่วยให้ระบบทำงานได้เร็วขึ้นและมีประสิทธิภาพมากขึ้น เช่น โปรแกรมเพิ่มความเร็วคอมพิวเตอร์ (System Optimizer)
การสำรองข้อมูล: ช่วยในการสำรองข้อมูลสำคัญเพื่อป้องกันข้อมูลสูญหาย
โปรแกรมเหล่านี้มีความสำคัญอย่างยิ่งในการดูแลรักษาระบบคอมพิวเตอร์ให้ทำงานได้อย่างราบรื่นและปลอดภัยค่ะ</t>
  </si>
  <si>
    <t>อุปกรณ์บันทึกข้อมูล คือ อุปกรณ์ที่ใช้ในการเก็บรักษาข้อมูลดิจิทัล ค่ะ
อุปกรณ์เหล่านี้ทำหน้าที่แปลงข้อมูลให้อยู่ในรูปแบบที่สามารถจัดเก็บได้ และสามารถเรียกข้อมูลนั้นกลับมาใช้งานได้ในภายหลัง โดยมีลักษณะสำคัญดังนี้:
การจัดเก็บข้อมูล: สามารถบันทึกข้อมูลได้หลากหลายประเภท เช่น ข้อความ รูปภาพ เสียง วิดีโอ และโปรแกรมต่างๆ
การคงอยู่ของข้อมูล: ข้อมูลที่บันทึกไว้จะยังคงอยู่แม้จะปิดเครื่องคอมพิวเตอร์แล้วก็ตาม (ยกเว้นอุปกรณ์บางประเภทที่ออกแบบมาเพื่อการลบข้อมูล)
ความจุที่แตกต่างกัน: อุปกรณ์แต่ละชนิดมีความจุในการจัดเก็บข้อมูลที่แตกต่างกันไป
ตัวอย่างของอุปกรณ์บันทึกข้อมูล ได้แก่ ฮาร์ดดิสก์ไดรฟ์ (HDD), โซลิดสเตตไดรฟ์ (SSD), แฟลชไดรฟ์ (USB Flash Drive), แผ่นซีดี (CD), แผ่นดีวีดี (DVD), และการ์ดหน่วยความจำ (Memory Card) ค่ะ</t>
  </si>
  <si>
    <t>iPhone ใช้ระบบปฏิบัติการชื่อว่า iOS ค่ะ
iOS เป็นระบบปฏิบัติการที่พัฒนาโดยบริษัท Apple สำหรับอุปกรณ์เคลื่อนที่ของตนเอง เช่น iPhone, iPad และ iPod Touch ค่ะ</t>
  </si>
  <si>
    <t>IaaS ย่อมาจาก Infrastructure as a Service ค่ะ
IaaS คือ รูปแบบหนึ่งของการให้บริการคลาวด์คอมพิวติง ที่ผู้ให้บริการจะจัดหา โครงสร้างพื้นฐานด้านคอมพิวเตอร์ ให้แก่ผู้ใช้งานผ่านทางอินเทอร์เน็ต โดยผู้ใช้งานสามารถเช่าใช้ทรัพยากรเหล่านี้ได้ตามต้องการ
โครงสร้างพื้นฐานที่ IaaS ให้บริการ ได้แก่:
เซิร์ฟเวอร์เสมือน (Virtual Servers): เปรียบเสมือนเครื่องคอมพิวเตอร์ที่สามารถติดตั้งระบบปฏิบัติการและซอฟต์แวร์ต่างๆ ได้
พื้นที่จัดเก็บข้อมูล (Storage): สำหรับเก็บข้อมูลและไฟล์ต่างๆ
เครือข่าย (Networking): การเชื่อมต่อเครือข่ายเสมือน เพื่อให้เซิร์ฟเวอร์สามารถสื่อสารกันได้
ข้อดีของการใช้ IaaS คือ ช่วยลดต้นทุนในการจัดซื้อและบำรุงรักษาฮาร์ดแวร์ ทำให้องค์กรมีความยืดหยุ่นในการปรับขนาดทรัพยากรตามความต้องการ และสามารถเข้าถึงระบบได้จากทุกที่ที่มีอินเทอร์เน็ตค่ะ</t>
  </si>
  <si>
    <t>Windows 11 ต้องการ RAM ขั้นต่ำ 4 GB ค่ะ
อย่างไรก็ตาม เพื่อประสิทธิภาพการใช้งานที่ดี แนะนำให้ใช้ RAM มากกว่า 4 GB ขึ้นไปค่ะ</t>
  </si>
  <si>
    <t>ถ้าไม่มีโฟลเดอร์จะเก็บงานในไดรฟ์ได้ไหม</t>
  </si>
  <si>
    <t>การติดตั้งเครื่องคอมพิวเตอร์ใหม่มีขั้นตอนหลักๆ ดังนี้ค่ะ:
การเตรียมฮาร์ดแวร์:
ตรวจสอบให้แน่ใจว่าส่วนประกอบต่างๆ ของคอมพิวเตอร์ เช่น CPU, RAM, Mainboard, Hard Disk/SSD, Power Supply, การ์ดจอ (ถ้ามี) และอุปกรณ์ต่อพ่วง (จอภาพ, คีย์บอร์ด, เมาส์) เข้ากันได้และพร้อมใช้งาน
จัดวางอุปกรณ์ในตำแหน่งที่เหมาะสม และต่อสายต่างๆ ให้ถูกต้อง
การติดตั้งระบบปฏิบัติการ (Windows):
เตรียมสื่อสำหรับติดตั้ง Windows เช่น USB Flash Drive หรือแผ่น DVD ที่มีไฟล์ติดตั้ง Windows
ตั้งค่า BIOS/UEFI ให้บูตจากสื่อการติดตั้งที่เตรียมไว้
ทำตามขั้นตอนการติดตั้ง Windows บนหน้าจอ โดยเลือกภาษา, รูปแบบเวลาและคีย์บอร์ด, ยอมรับข้อตกลง, เลือกประเภทการติดตั้ง (แนะนำ Custom: Install Windows only (advanced))
เลือกไดรฟ์ที่ต้องการติดตั้ง Windows (โดยทั่วไปคือไดรฟ์ C:) และทำการฟอร์แมตหากจำเป็น
รอจนกว่าการติดตั้งจะเสร็จสมบูรณ์ จากนั้นคอมพิวเตอร์จะรีสตาร์ท
การตั้งค่าเบื้องต้นหลังติดตั้ง:
ตั้งค่าบัญชีผู้ใช้ (User Account) และรหัสผ่าน
เชื่อมต่ออินเทอร์เน็ต
อัปเดต Windows ให้เป็นเวอร์ชันล่าสุด เพื่อความปลอดภัยและประสิทธิภาพ
การติดตั้งไดรเวอร์ (Drivers):
ติดตั้งไดรเวอร์สำหรับฮาร์ดแวร์ต่างๆ เช่น การ์ดจอ, การ์ดเสียง, การ์ดแลน เพื่อให้ฮาร์ดแวร์ทำงานได้อย่างเต็มประสิทธิภาพ (มักจะมาพร้อมกับแผ่น CD/DVD ของฮาร์ดแวร์นั้นๆ หรือดาวน์โหลดจากเว็บไซต์ผู้ผลิต)
การติดตั้งซอฟต์แวร์ประยุกต์ (Application Software):
ติดตั้งโปรแกรมที่จำเป็นสำหรับการใช้งาน เช่น เว็บเบราว์เซอร์, โปรแกรมสำนักงาน (Microsoft Office, LibreOffice), โปรแกรมดูหนังฟังเพลง, โปรแกรมป้องกันไวรัส เป็นต้น
หากต้องการทราบรายละเอียดในขั้นตอนใดเป็นพิเศษ สามารถสอบถามเพิ่มเติมได้นะคะ</t>
  </si>
  <si>
    <t>ถ้าจะติดตั้งเครื่องคอมใหม้ต้องทำยังไงบ้าง</t>
  </si>
  <si>
    <t>การกำหนดการแสดงผลไอคอนบนหน้าจอเดสก์ท็อปของ Windows หมายถึง การตั้งค่าลักษณะการแสดงผลของไอคอนต่างๆ ที่ปรากฏอยู่บนหน้าจอ เพื่อให้ผู้ใช้สามารถจัดระเบียบและมองเห็นไอคอนได้ตามความต้องการค่ะ
โดยทั่วไป การกำหนดนี้จะเกี่ยวข้องกับการตั้งค่าต่างๆ ดังนี้:
ขนาดไอคอน (Icon Size): สามารถปรับขนาดไอคอนให้ใหญ่ขึ้น (Large icons), ขนาดปกติ (Medium icons) หรือเล็กลง (Small icons) ได้ เพื่อให้เหมาะสมกับความละเอียดของหน้าจอและความชอบของผู้ใช้
การจัดเรียงไอคอน (Icon Arrangement): สามารถเลือกให้ไอคอนจัดเรียงอัตโนมัติ (Auto arrange icons) ตามชื่อ, ขนาด, ประเภท หรือวันที่แก้ไข หรือจะจัดเรียงด้วยตนเองก็ได้
การจัดแนวไอคอน (Align to Grid): เป็นการกำหนดให้ไอคอนจัดเรียงเป็นระเบียบตามแนวเส้นตารางที่มองไม่เห็นบนหน้าจอ เพื่อให้ดูเรียบร้อย
การแสดงไอคอนบนเดสก์ท็อป (Show Desktop Icons): เป็นการเลือกว่าจะให้แสดงไอคอนพื้นฐาน เช่น This PC, Recycle Bin, User's Files หรือไม่
การตั้งค่าเหล่านี้ช่วยให้ผู้ใช้สามารถปรับแต่งหน้าจอเดสก์ท็อปให้ใช้งานได้สะดวกและเป็นระเบียบตามสไตล์ของตนเองค่ะ</t>
  </si>
  <si>
    <t>Search Directories คือรูปแบบการค้นหาข้อมูลโดยการจัดหมวดหมู่ (Categorization) ค่ะ
โดยเว็บไซต์ที่ให้บริการในลักษณะนี้ จะมีการจัดระเบียบข้อมูลออกเป็นหมวดหมู่ย่อยๆ และหมวดหมู่หลักๆ ไว้ล่วงหน้า ผู้ใช้จะต้องเข้าไปเลือกหมวดหมู่ที่ต้องการ จากนั้นจึงค่อยๆ เจาะลึกเข้าไปในหมวดหมู่ย่อยๆ เพื่อค้นหาข้อมูลที่สนใจ
ตัวอย่างที่ชัดเจนของ Search Directories คือ Yahoo Directory ในยุคก่อน ซึ่งเป็นการรวบรวมเว็บไซต์ต่างๆ และจัดหมวดหมู่ไว้ให้ผู้ใช้เลือกค้นหาค่ะ</t>
  </si>
  <si>
    <t>Google Calendar คือแอปพลิเคชันสำหรับจัดการตารางเวลาและกิจกรรมต่างๆ ค่ะ
มีประโยชน์หลักๆ ดังนี้:
สร้างและจัดการกิจกรรม: คุณสามารถสร้างนัดหมาย, กำหนดการประชุม, หรือบันทึกกิจกรรมส่วนตัวต่างๆ ได้
ตั้งเวลาและการแจ้งเตือน: สามารถกำหนดวัน เวลา สถานที่ และตั้งค่าการแจ้งเตือนล่วงหน้า เพื่อไม่ให้พลาดกิจกรรมสำคัญ
ซิงค์ข้อมูล: ข้อมูลใน Google Calendar จะถูกซิงค์กับบัญชี Google ของคุณ ทำให้สามารถเข้าถึงและจัดการตารางเวลาได้จากทุกอุปกรณ์ที่ลงชื่อเข้าใช้บัญชีเดียวกัน ไม่ว่าจะเป็นคอมพิวเตอร์, สมาร์ทโฟน หรือแท็บเล็ต
กล่าวโดยสรุปคือ Google Calendar ช่วยให้คุณบริหารจัดการเวลาและวางแผนกิจกรรมต่างๆ ได้อย่างเป็นระบบและสะดวกสบายค่ะ</t>
  </si>
  <si>
    <t>Android จาก iOS ยังไง</t>
  </si>
  <si>
    <t>ขออภัยค่ะ ฉันไม่พบข้อมูลที่เฉพาะเจาะจงในขณะนี้ นักเรียนสนใจสอบถามเรื่องอื่นเกี่ยวกับคอมพิวเตอร์หรือระบบ Windows ไหมคะ</t>
  </si>
  <si>
    <t>พื้นหลังแบบ Slide Show คือ</t>
  </si>
  <si>
    <t>พื้นหลังแบบสไลด์โชว์ คือการตั้งค่าให้รูปภาพหลายๆ รูปที่อยู่ในโฟลเดอร์ที่กำหนด สลับเปลี่ยนกันแสดงผลเป็นพื้นหลังบนหน้าจอ Desktop ของคอมพิวเตอร์ค่ะ
โดยรูปภาพจะเปลี่ยนไปเรื่อยๆ ตามช่วงเวลาที่คุณตั้งค่าไว้ ทำให้หน้าจอ Desktop ของคุณมีความหลากหลายและน่าสนใจมากขึ้นค่ะ</t>
  </si>
  <si>
    <t>เมนู Taskbar ในระบบปฏิบัติการ Windows สามารถใช้ปรับแต่งการแสดงผลและพฤติกรรมของแถบงาน (Taskbar) ได้หลายอย่างค่ะ ซึ่งรวมถึง:
ตำแหน่งของ Taskbar: คุณสามารถเลือกย้าย Taskbar ไปไว้ที่ขอบด้านล่าง ด้านบน ด้านซ้าย หรือด้านขวาของหน้าจอได้
การแสดงผลไอคอน: สามารถกำหนดได้ว่าจะให้ไอคอนของโปรแกรมที่เปิดอยู่แสดงบน Taskbar หรือไม่ รวมถึงการรวมไอคอนของโปรแกรมเดียวกันไว้ด้วยกัน
การจัดเรียงปุ่ม: สามารถปรับการจัดเรียงของปุ่มต่างๆ บน Taskbar ได้
การแสดงผลนาฬิกาและวันที่: สามารถเลือกเปิดหรือปิดการแสดงผลนาฬิกาและวันที่บน Taskbar ได้
การแสดงผลไอคอนระบบ: สามารถเลือกแสดงหรือซ่อนไอคอนต่างๆ ในพื้นที่แจ้งเตือน (Notification Area) เช่น ไอคอนเสียง, ไอคอนเครือข่าย, ไอคอนแบตเตอรี่ (สำหรับแล็ปท็อป)
การปรับแต่งเหล่านี้ช่วยให้คุณสามารถจัดระเบียบหน้าจอและเข้าถึงโปรแกรมต่างๆ ได้สะดวกตามความถนัดค่ะ</t>
  </si>
  <si>
    <t>การเปิดโปรแกรมในระบบปฏิบัติการ Windows สามารถทำได้หลายวิธีค่ะ วิธีที่นิยมใช้มีดังนี้:
ผ่านปุ่ม Start:
คลิกที่ปุ่ม Start (โลโก้ Windows) ที่มุมซ้ายล่างของหน้าจอ
คุณจะเห็นรายการโปรแกรมที่ติดตั้งไว้ทั้งหมด หรือโปรแกรมที่ใช้งานบ่อย
หากไม่พบโปรแกรมที่ต้องการ ให้พิมพ์ชื่อโปรแกรมลงในช่องค้นหา (Search) ที่อยู่ถัดจากปุ่ม Start แล้วกด Enter หรือคลิกที่ชื่อโปรแกรมที่ปรากฏขึ้นมา
ผ่านไอคอนบน Desktop:
หากโปรแกรมที่คุณต้องการเปิดมีไอคอนอยู่บนหน้าจอ Desktop ให้ ดับเบิลคลิก ที่ไอคอนนั้น
ผ่าน Taskbar:
หากไอคอนของโปรแกรมที่คุณต้องการเปิดปักหมุด (Pin) ไว้ที่ Taskbar อยู่แล้ว ให้ คลิกที่ไอคอน นั้นเพียงครั้งเดียว
ผ่าน File Explorer:
หากคุณทราบตำแหน่งที่ตั้งของไฟล์โปรแกรม (ไฟล์ .exe) คุณสามารถเข้าไปที่โฟลเดอร์นั้นผ่าน File Explorer แล้ว ดับเบิลคลิก ที่ไฟล์โปรแกรมเพื่อเปิดได้
วิธีเหล่านี้จะช่วยให้คุณสามารถเปิดโปรแกรมต่างๆ ใน Windows ได้อย่างสะดวกค่ะ</t>
  </si>
  <si>
    <t>ทำไมต้องใช้เทคโนโลยีด้านคอมพิวเตอร์ในงานเทคโนโลยีสารสนเทศ</t>
  </si>
  <si>
    <t>การใช้เทคโนโลยีด้านคอมพิวเตอร์ในงานเทคโนโลยีสารสนเทศ (Information Technology - IT) เป็นสิ่งจำเป็นอย่างยิ่งค่ะ เนื่องจากเทคโนโลยีคอมพิวเตอร์เป็นรากฐานสำคัญที่ทำให้งานด้าน IT สามารถดำเนินไปได้
เหตุผลหลักๆ มีดังนี้ค่ะ:
การประมวลผลและจัดการข้อมูล: งาน IT เกี่ยวข้องกับการจัดเก็บ ประมวลผล วิเคราะห์ และนำเสนอข้อมูล ซึ่งคอมพิวเตอร์เป็นเครื่องมือหลักที่ใช้ในการดำเนินงานเหล่านี้ได้อย่างมีประสิทธิภาพ
การสร้างและพัฒนาซอฟต์แวร์: การพัฒนาแอปพลิเคชัน ระบบปฏิบัติการ หรือโปรแกรมต่างๆ ที่เป็นหัวใจของเทคโนโลยีสารสนเทศ จำเป็นต้องอาศัยเครื่องมือและสภาพแวดล้อมที่คอมพิวเตอร์จัดเตรียมให้
การเชื่อมต่อและการสื่อสาร: เครือข่ายคอมพิวเตอร์และอินเทอร์เน็ต ซึ่งเป็นเทคโนโลยีคอมพิวเตอร์ ทำให้สามารถส่งและรับข้อมูลระหว่างอุปกรณ์และผู้ใช้งานได้ทั่วโลก ซึ่งเป็นหัวใจสำคัญของ IT
การให้บริการและระบบ: ระบบ IT เช่น เว็บไซต์ แอปพลิเคชันบนคลาวด์ หรือระบบฐานข้อมูล ล้วนทำงานอยู่บนโครงสร้างพื้นฐานทางคอมพิวเตอร์
การรักษาความปลอดภัย: การปกป้องข้อมูลและระบบสารสนเทศจากการเข้าถึงโดยไม่ได้รับอนุญาต หรือการโจมตีทางไซเบอร์ ก็ต้องอาศัยเทคโนโลยีและเครื่องมือที่พัฒนาบนคอมพิวเตอร์
ดังนั้น เทคโนโลยีด้านคอมพิวเตอร์จึงเป็นองค์ประกอบพื้นฐานที่ขาดไม่ได้ในการดำเนินงานด้านเทคโนโลยีสารสนเทศทุกแขนงค่ะ</t>
  </si>
  <si>
    <t>หากไฟล์ที่คัดลอกมีชื่อซ้ำกับไฟล์ที่มีอยู่แล้วในปลายทาง ระบบปฏิบัติการ Windows จะแจ้งเตือนให้ผู้ใช้ทราบและให้ตัวเลือกในการจัดการกับไฟล์ที่ซ้ำกันค่ะ โดยทั่วไปจะมีตัวเลือกดังนี้:
ข้าม (Skip): ไฟล์ต้นฉบับจะไม่ถูกคัดลอกไปยังปลายทาง และไฟล์เดิมที่มีชื่อซ้ำกันจะยังคงอยู่
แทนที่ (Replace): ไฟล์ต้นฉบับจะถูกคัดลอกไปทับไฟล์เดิมที่มีชื่อซ้ำกันในปลายทาง ทำให้ไฟล์เดิมถูกลบไปและใช้ไฟล์ที่คัดลอกมาแทนที่
ตัดสินใจเอง (Let me decide): ระบบจะแสดงตัวเลือกให้ผู้ใช้ตัดสินใจว่าจะข้ามหรือแทนที่สำหรับไฟล์ที่ซ้ำกันแต่ละไฟล์
การเลือกตัวเลือกใดขึ้นอยู่กับความต้องการของผู้ใช้ว่าต้องการเก็บไฟล์ต้นฉบับไว้ หรือต้องการใช้ไฟล์ที่คัดลอกมาแทนที่ค่ะ</t>
  </si>
  <si>
    <t>ได้ค่ะ แม้จะไม่มีโฟลเดอร์ ก็ยังสามารถเก็บไฟล์งานในไดรฟ์ได้โดยตรงค่ะ
เมื่อคุณบันทึกไฟล์ หรือคัดลอกไฟล์ไปยังไดรฟ์ (เช่น ไดรฟ์ C:, D:, หรือ E:) โดยตรง โดยไม่ได้เลือกโฟลเดอร์ใดๆ ไฟล์นั้นจะถูกจัดเก็บไว้ที่ Root Directory ของไดรฟ์นั้นๆ ค่ะ
อย่างไรก็ตาม การจัดเก็บไฟล์โดยไม่มีโฟลเดอร์อาจทำให้การจัดการไฟล์ในภายหลังทำได้ยากขึ้น เนื่องจากไฟล์ทั้งหมดจะรวมอยู่ในที่เดียว ทำให้ค้นหาได้ลำบากเมื่อมีไฟล์จำนวนมากค่ะ การสร้างโฟลเดอร์เพื่อจัดกลุ่มไฟล์ตามประเภทหรือตามโปรเจกต์ จะช่วยให้การจัดการไฟล์เป็นระเบียบและมีประสิทธิภาพมากกว่าค่ะ</t>
  </si>
  <si>
    <t>การปรับแต่ง Themes ของ Mouse Cursor ใน Windows สามารถทำได้ตามขั้นตอนดังนี้ค่ะ:
เปิดการตั้งค่า:
คลิกขวาที่พื้นที่ว่างบน Desktop
เลือก Personalize (ปรับแต่ง)
ไปที่ส่วน Themes:
ในหน้าต่าง Personalization ทางด้านซ้าย ให้เลือก Themes
เลือก Mouse Cursor:
ในส่วนของ Themes ทางด้านขวา มองหาและคลิกที่ Mouse cursor (ตัวชี้เมาส์)
ปรับแต่ง Cursor:
หน้าต่าง Mouse Properties จะปรากฏขึ้น
ไปที่แท็บ Pointers (ตัวชี้)
ในส่วน Scheme (ชุดรูปแบบ) คุณสามารถเลือกชุดรูปแบบของ Cursor ที่มีให้เลือกได้
หากต้องการปรับแต่ง Cursor ทีละรายการ ให้เลือก Cursor ที่ต้องการในส่วน Customize (ปรับแต่ง) แล้วคลิก Browse (เรียกดู) เพื่อเลือกไฟล์ Cursor (.cur หรือ .ani) ที่ต้องการ
เมื่อเลือก Cursor ที่ต้องการแล้ว ให้คลิก Apply (นำไปใช้) และ OK (ตกลง)
การปรับแต่งนี้จะช่วยให้คุณสามารถเปลี่ยนรูปลักษณ์ของตัวชี้เมาส์ให้เข้ากับสไตล์การใช้งานของคุณได้ค่ะ</t>
  </si>
  <si>
    <t>หากคุณใช้มือถือ Android และต้องการเปิดแอปพลิเคชัน Gmail สามารถทำตามขั้นตอนดังนี้ค่ะ:
เปิดแอป Gmail:
มองหาไอคอนแอป Gmail ซึ่งมักจะเป็นรูปซองจดหมายสีขาวบนพื้นหลังสีแดง
แตะที่ไอคอนแอป Gmail เพื่อเปิดแอปพลิเคชัน
ลงชื่อเข้าใช้ (หากยังไม่ได้ลงชื่อเข้าใช้):
หากคุณยังไม่ได้ลงชื่อเข้าใช้บัญชี Google บนแอป Gmail ระบบจะแสดงหน้าให้คุณลงชื่อเข้าใช้
แตะที่ "Sign in" (ลงชื่อเข้าใช้)
กรอก อีเมล หรือเบอร์โทรศัพท์ที่เชื่อมโยงกับบัญชี Google ของคุณ แล้วแตะ "Next" (ถัดไป)
กรอก รหัสผ่าน ของบัญชี Google ของคุณ แล้วแตะ "Next" (ถัดไป)
อาจมีขั้นตอนการยืนยันตัวตนเพิ่มเติม เช่น การใส่รหัส OTP ที่ส่งไปยังเบอร์โทรศัพท์ของคุณ
เข้าสู่กล่องจดหมาย:
หลังจากลงชื่อเข้าใช้สำเร็จ คุณจะเข้าสู่กล่องจดหมาย Gmail ของคุณ ซึ่งคุณสามารถดูอีเมลที่ได้รับ, ส่งอีเมลใหม่, หรือจัดการกับอีเมลอื่นๆ ได้</t>
  </si>
  <si>
    <t>เครื่องพิมพ์ดอตเมตริกซ์ใช้กับงานอะไร</t>
  </si>
  <si>
    <t>เครื่องพิมพ์ดอตเมตริกซ์ (Dot Matrix Printer) เหมาะสำหรับงานที่ต้องการการพิมพ์เอกสารที่มีสำเนาหลายชุดค่ะ
งานพิมพ์เอกสารที่มีสำเนา: เครื่องพิมพ์ชนิดนี้ใช้หัวเข็มกระแทกผ้าหมึกเพื่อสร้างตัวอักษรลงบนกระดาษ ทำให้สามารถพิมพ์ลงบนกระดาษคาร์บอน หรือกระดาษต่อเนื่องที่รองรับการทำสำเนาได้หลายชั้นพร้อมกัน
งานที่พบเห็นได้บ่อย: มักพบเห็นในหน่วยงานที่ต้องการสำเนาเอกสาร เช่น ใบเสร็จรับเงิน, ใบกำกับภาษี, ใบแจ้งหนี้, สลิปเงินเดือน, หรือเอกสารทางบัญชีที่ต้องส่งสำเนาให้หลายฝ่าย
เนื่องจากเป็นเครื่องพิมพ์แบบ Impact Printer (ใช้การกระแทก) จึงอาจมีเสียงดังขณะทำงาน และความละเอียดในการพิมพ์อาจไม่สูงเท่าเครื่องพิมพ์เลเซอร์หรืออิงก์เจ็ตค่ะ</t>
  </si>
  <si>
    <t>การปรับขนาดตัวอักษรในระบบปฏิบัติการ Windows สามารถทำได้ดังนี้ค่ะ:
เปิดการตั้งค่า:
คลิกขวาที่พื้นที่ว่างบน Desktop
เลือก Display settings (การตั้งค่าการแสดงผล)
ปรับขนาดตัวอักษร:
ในหน้าต่าง Display settings เลื่อนลงมาที่ส่วน Scale and layout (ปรับขนาดและเค้าโครง)
ภายใต้หัวข้อ "Change the size of text, apps, and other items" (เปลี่ยนขนาดของข้อความ แอป และรายการอื่นๆ) คุณจะเห็นแถบเลื่อนสำหรับปรับขนาด
เลือกขนาดที่ต้องการจากแถบเลื่อน หรือเลือกจากตัวเลือกที่กำหนดไว้ (เช่น 100%, 125%, 150%)
หลังจากเลือกขนาดที่ต้องการแล้ว การเปลี่ยนแปลงจะมีผลทันที หรืออาจต้องกด "Apply" (นำไปใช้)</t>
  </si>
  <si>
    <t>2 4.3.1 ปรับแต่งขนาดตัวอักษร</t>
  </si>
  <si>
    <t>ไมโครโฟนแบบไดนามิกคืออะไร</t>
  </si>
  <si>
    <t>ไมโครโฟนแบบไดนามิก (Dynamic Microphone) เป็นไมโครโฟนประเภทหนึ่งที่มีลักษณะการทำงานดังนี้ค่ะ:
หลักการทำงาน: ใช้หลักการเหนี่ยวนำแม่เหล็กไฟฟ้า โดยเมื่อคลื่นเสียงมากระทบกับแผ่นไดอะแฟรม (Diaphragm) ที่ติดอยู่กับขดลวดเสียง (Voice Coil) ซึ่งอยู่ในสนามแม่เหล็ก การเคลื่อนที่ของขดลวดนี้จะทำให้เกิดกระแสไฟฟ้าอ่อนๆ ขึ้น ซึ่งเป็นสัญญาณเสียง
การรับเสียง: สามารถรับเสียงได้ในย่านความถี่ที่กว้าง ครอบคลุมทั้งความถี่สูงและความถี่ต่ำ
ข้อจำกัดในการใช้งานกับคอมพิวเตอร์: สัญญาณเสียงที่ได้จากไมโครโฟนแบบไดนามิกมักจะมีระดับต่ำ (Low output level) ทำให้ไม่นิยมใช้กับคอมพิวเตอร์โดยตรง จำเป็นต้องผ่านวงจรขยายเสียง (Amplifier) ก่อน เพื่อให้ได้ระดับสัญญาณที่เหมาะสมสำหรับการประมวลผลของคอมพิวเตอร์</t>
  </si>
  <si>
    <t>การใช้ ChatGPT เพื่อค้นหาข้อมูลนั้นแตกต่างจากการใช้ Search Engine ทั่วไปเล็กน้อยค่ะ โดยมีขั้นตอนและลักษณะการใช้งานดังนี้:
เข้าสู่ระบบ ChatGPT:
เปิดเว็บไซต์ของ ChatGPT (เช่น chat.openai.com)
หากยังไม่มีบัญชี ต้องทำการลงทะเบียนก่อน
เข้าสู่ระบบด้วยบัญชีของคุณ
พิมพ์คำถามหรือคำสั่ง:
ในช่องข้อความด้านล่าง พิมพ์คำถามหรือคำสั่งที่คุณต้องการให้ ChatGPT ตอบหรือดำเนินการให้
ตัวอย่าง: "อธิบายหลักการทำงานของคอมพิวเตอร์", "สรุปประวัติศาสตร์ของอินเทอร์เน็ต", "เขียนโค้ด Python สำหรับอ่านไฟล์ CSV"
รอรับคำตอบ:
ChatGPT จะประมวลผลคำถามของคุณและสร้างคำตอบออกมาในรูปแบบข้อความ
คำตอบที่ได้จะมีความละเอียดและเจาะลึกตามข้อมูลที่ AI ได้รับการฝึกฝนมา
การโต้ตอบเพิ่มเติม (Iterative Conversation):
หากคำตอบที่ได้ยังไม่ตรงตามความต้องการ หรือต้องการข้อมูลเพิ่มเติม คุณสามารถพิมพ์คำถามต่อเนื่องได้เลย
ตัวอย่าง: หากถามว่า "อธิบายหลักการทำงานของคอมพิวเตอร์" แล้วได้คำตอบมา หากต้องการทราบรายละเอียดเกี่ยวกับ CPU เพิ่มเติม ก็สามารถพิมพ์ต่อว่า "ช่วยขยายความเรื่อง CPU ให้หน่อย"
AI จะจดจำบริบทของการสนทนา เพื่อให้คำตอบที่เกี่ยวข้องและต่อเนื่อง</t>
  </si>
  <si>
    <t>หากต้องการเข้าใช้งาน Gmail สามารถทำตามขั้นตอนดังนี้ค่ะ:
เปิดเว็บเบราว์เซอร์: ใช้โปรแกรมเว็บเบราว์เซอร์ที่คุณใช้งานเป็นประจำ เช่น Google Chrome, Firefox, Microsoft Edge หรือ Safari
ไปที่เว็บไซต์ Gmail: พิมพ์ที่อยู่ www.gmail.com ในแถบที่อยู่ (Address Bar) ของเบราว์เซอร์ แล้วกด Enter
เข้าสู่ระบบ:
หากมีบัญชี Google อยู่แล้ว: ให้กรอกที่อยู่อีเมล Gmail ของคุณ (เช่น yourname@gmail.com) ในช่องที่กำหนด แล้วคลิก "ถัดไป" (Next)
จากนั้น กรอกรหัสผ่าน (Password) ของบัญชี Google ของคุณ แล้วคลิก "ถัดไป" (Next)
หากยังไม่มีบัญชี Google: คุณจะต้องทำการสร้างบัญชีใหม่ก่อน โดยมองหาปุ่ม "สร้างบัญชี" (Create account) แล้วทำตามขั้นตอนที่ระบบแนะนำ
เข้าสู่กล่องจดหมาย: เมื่อกรอกอีเมลและรหัสผ่านถูกต้องแล้ว คุณจะเข้าสู่หน้ากล่องจดหมาย Gmail ของคุณ ซึ่งจะแสดงอีเมลที่ได้รับ</t>
  </si>
  <si>
    <t>เมนู View คือ</t>
  </si>
  <si>
    <t>ไอคอนผู้ใช้งานบนหน้าจอหลักคือ</t>
  </si>
  <si>
    <t>เมนู Start คือ</t>
  </si>
  <si>
    <t>iOS ใช้กับอุปกรณ์แบบไหน</t>
  </si>
  <si>
    <t>ระบบปฏิบัติการ (Operating System - OS) คือ ซอฟต์แวร์พื้นฐานที่ทำหน้าที่เป็นตัวกลางระหว่างผู้ใช้กับฮาร์ดแวร์ของคอมพิวเตอร์ ค่ะ
หน้าที่หลักของระบบปฏิบัติการ ได้แก่:
จัดการทรัพยากร: ควบคุมและจัดสรรทรัพยากรต่างๆ ของคอมพิวเตอร์ เช่น หน่วยประมวลผลกลาง (CPU), หน่วยความจำ (RAM), อุปกรณ์จัดเก็บข้อมูล (Hard Disk) ให้กับโปรแกรมต่างๆ ที่กำลังทำงานอยู่
ส่วนต่อประสานกับผู้ใช้ (User Interface): สร้างสภาพแวดล้อมที่ช่วยให้ผู้ใช้สามารถสั่งงานและโต้ตอบกับคอมพิวเตอร์ได้ง่ายขึ้น เช่น ผ่านหน้าจอเดสก์ท็อป ไอคอน หรือบรรทัดคำสั่ง
จัดการไฟล์และโฟลเดอร์: ควบคุมการสร้าง, ลบ, คัดลอก, ย้าย, และจัดเก็บไฟล์และโฟลเดอร์ต่างๆ บนอุปกรณ์จัดเก็บข้อมูล
จัดการโปรแกรม: ควบคุมการทำงานของโปรแกรมประยุกต์ (Application Software) ทำให้โปรแกรมเหล่านั้นสามารถทำงานร่วมกับฮาร์ดแวร์ได้อย่างราบรื่น
รักษาความปลอดภัย: จัดการสิทธิ์การเข้าถึงข้อมูลและทรัพยากรต่างๆ เพื่อป้องกันการเข้าถึงโดยไม่ได้รับอนุญาต</t>
  </si>
  <si>
    <t>เมนู View ในระบบปฏิบัติการ Windows โดยทั่วไปแล้วจะเกี่ยวข้องกับการ ปรับเปลี่ยนวิธีการแสดงผลของรายการต่างๆ ค่ะ
เมื่อคุณเปิด File Explorer (หรือบางโปรแกรมอื่นๆ) แล้วคลิกที่เมนู View คุณจะสามารถปรับแต่งสิ่งต่างๆ ได้ เช่น:
การแสดงผลไอคอน: คุณสามารถเลือกขนาดของไอคอนได้ว่าจะให้แสดงเป็นไอคอนขนาดใหญ่ (Large icons), ขนาดกลาง (Medium icons), ขนาดเล็ก (Small icons) หรือแสดงเป็นรายการ (List) หรือรายละเอียด (Details)
การจัดเรียงไอคอน: สามารถกำหนดให้ไอคอนจัดเรียงอัตโนมัติ (Auto arrange icons) หรือจัดเรียงชิดกริด (Align to grid) ได้
การแสดง/ซ่อนไอคอน: สามารถเลือกที่จะแสดงหรือซ่อนไอคอนบนเดสก์ท็อปได้ (Show desktop icons)
การจัดเรียงไฟล์และโฟลเดอร์: สามารถใช้เมนูย่อย "Sort by" เพื่อจัดเรียงรายการตามชื่อ (Name), ขนาด (Size), ประเภท (Item type), หรือวันที่แก้ไข (Date Modified)
การแสดง/ซ่อนรายละเอียดเพิ่มเติม: เช่น การแสดงนามสกุลไฟล์ (File name extensions), การแสดงไฟล์ที่ซ่อนอยู่ (Hidden items)
โดยสรุป เมนู View มีไว้เพื่อให้คุณสามารถ ปรับแต่งหน้าตาและการจัดระเบียบของข้อมูลที่แสดงผล ให้เหมาะสมกับการใช้งานของคุณมากที่สุดค่ะ</t>
  </si>
  <si>
    <t>ไอคอนผู้ใช้งานบนหน้าจอหลัก (Desktop) ของระบบปฏิบัติการ Windows โดยทั่วไปจะหมายถึงไอคอนที่แสดงถึง บัญชีผู้ใช้ที่กำลังเข้าสู่ระบบอยู่ในขณะนั้น ค่ะ
ไอคอนนี้มักจะมีลักษณะเป็นรูปคน หรืออาจเป็นรูปโปรไฟล์ที่คุณตั้งค่าไว้ และเมื่อคุณคลิกที่ไอคอนนี้ จะสามารถเข้าถึงข้อมูลหรือการตั้งค่าที่เกี่ยวข้องกับบัญชีผู้ใช้ของคุณได้ เช่น:
การเปลี่ยนรูปโปรไฟล์: คุณสามารถเปลี่ยนรูปภาพที่แสดงแทนตัวคุณได้
การเข้าถึงโฟลเดอร์ส่วนตัว: เช่น โฟลเดอร์ Documents, Downloads, Pictures ที่เป็นพื้นที่จัดเก็บไฟล์ส่วนตัวของคุณ
การจัดการบัญชีผู้ใช้: เช่น การเปลี่ยนรหัสผ่าน, การสร้างบัญชีผู้ใช้ใหม่ (หากคุณมีสิทธิ์ผู้ดูแลระบบ)
การออกจากระบบ (Sign out) หรือสลับผู้ใช้ (Switch user): เพื่อออกจากระบบปัจจุบัน หรือให้ผู้ใช้อื่นเข้าสู่ระบบโดยไม่ต้องปิดเครื่อง
ดังนั้น ไอคอนผู้ใช้งานจึงเป็นเหมือน ประตูสู่การจัดการและเข้าถึงข้อมูลส่วนบุคคลของคุณบนคอมพิวเตอร์ ค่ะ</t>
  </si>
  <si>
    <t>โดเมนเนม (Domain Name) คือ ชื่อที่ใช้แทนที่อยู่ IP Address ของเซิร์ฟเวอร์บนอินเทอร์เน็ต เพื่อให้ง่ายต่อการจดจำและใช้งาน ค่ะ
ลองนึกภาพว่า IP Address เป็นเหมือนหมายเลขโทรศัพท์ที่ยาวและจำยาก ส่วนโดเมนเนมก็เปรียบเสมือนชื่อเล่นที่คนทั่วไปเรียกกัน ทำให้เราสามารถเข้าถึงเว็บไซต์ต่างๆ ได้สะดวกขึ้น
โครงสร้างของโดเมนเนมโดยทั่วไปจะประกอบด้วย:
ชื่อโดเมน (Domain Name): เป็นชื่อที่เราตั้งขึ้นเอง เช่น google หรือ example
นามสกุลโดเมน (Top-Level Domain - TLD): เป็นส่วนที่อยู่ท้ายสุด เช่น .com, .org, .net, .edu, .go.th ซึ่งบ่งบอกถึงประเภทหรือที่ตั้งขององค์กร
ตัวอย่างเช่น ใน www.google.com:
google คือชื่อโดเมน
.com คือนามสกุลโดเมน
การจดทะเบียนโดเมนเนมทำให้คุณสามารถสร้างเว็บไซต์หรือบริการออนไลน์ภายใต้ชื่อที่จำง่ายและเป็นเอกลักษณ์ของคุณเองได้ค่ะ</t>
  </si>
  <si>
    <t>สำหรับ Windows 10 ข้อกำหนดขั้นต่ำของความถี่ซีพียูคือ 1 GHz ขึ้นไป ค่ะ
นอกจากนี้ Windows 10 ยังต้องการซีพียูที่เป็นแบบ 64 บิต ด้วยค่ะ
ดังนั้น หากซีพียูของคุณมีความเร็ว 1 GHz หรือสูงกว่า และเป็นแบบ 64 บิต ก็จะสามารถรองรับการติดตั้งและใช้งาน Windows 10 ได้ค่ะ</t>
  </si>
  <si>
    <t>พีเพิลแวร์ (Peopleware) หมายถึง บุคคลที่เกี่ยวข้องกับการใช้และพัฒนาระบบคอมพิวเตอร์ ค่ะ
บุคคลเหล่านี้มีความสำคัญอย่างยิ่งต่อการทำงานของระบบคอมพิวเตอร์ในทุกมิติ ตั้งแต่การออกแบบไปจนถึงการใช้งานจริง โดยทั่วไปสามารถแบ่งกลุ่มพีเพิลแวร์ได้ดังนี้ค่ะ:
นักวิเคราะห์ระบบ (System Analyst): ผู้ออกแบบและวิเคราะห์ความต้องการของระบบ
โปรแกรมเมอร์ (Programmer): ผู้เขียนชุดคำสั่งหรือโค้ดโปรแกรม
ผู้ดูแลระบบ (System Administrator): ผู้จัดการและแก้ไขปัญหาเกี่ยวกับระบบเครือข่ายและเซิร์ฟเวอร์
ช่างเทคนิคคอมพิวเตอร์ (Computer Technician): ผู้ซ่อมบำรุงฮาร์ดแวร์
ผู้ใช้งานทั่วไป (End-user): ผู้ที่ใช้คอมพิวเตอร์เพื่อการทำงานหรือความบันเทิง
กล่าวโดยสรุป พีเพิลแวร์คือ ทรัพยากรบุคคล ที่ทำให้ฮาร์ดแวร์และซอฟต์แวร์สามารถทำงานร่วมกันได้อย่างมีประสิทธิภาพค่ะ</t>
  </si>
  <si>
    <t>1.3.3.1 ความหมายของพีเพิลแวร์</t>
  </si>
  <si>
    <t>ระบบปฏิบัติการบนเครื่องแม่ข่าย (Server Operating System) คือ ระบบปฏิบัติการที่ออกแบบมาเพื่อจัดการและควบคุมทรัพยากรของเซิร์ฟเวอร์ ค่ะ
เซิร์ฟเวอร์เป็นคอมพิวเตอร์ที่มีประสิทธิภาพสูง ทำหน้าที่ให้บริการแก่คอมพิวเตอร์เครื่องอื่น ๆ ในเครือข่าย ดังนั้น ระบบปฏิบัติการบนเครื่องแม่ข่ายจึงต้องมีความสามารถพิเศษในการจัดการงานที่ซับซ้อน รองรับการใช้งานพร้อมกันหลายผู้ใช้ และมีความเสถียรสูง
ตัวอย่างของระบบปฏิบัติการบนเครื่องแม่ข่าย ได้แก่:
Windows Server: ระบบปฏิบัติการเซิร์ฟเวอร์จาก Microsoft ที่นิยมใช้ในองค์กร
Unix: ระบบปฏิบัติการที่มีความเสถียรและยืดหยุ่นสูง มักใช้ในสภาพแวดล้อมทางวิทยาศาสตร์และวิศวกรรม
Linux Distributions for Servers: เช่น Ubuntu Server, CentOS, Red Hat Enterprise Linux ซึ่งเป็นที่นิยมอย่างมากเนื่องจากมีความยืดหยุ่นและมีค่าใช้จ่ายที่คุ้มค่า
ระบบปฏิบัติการเหล่านี้จะทำหน้าที่หลักในการจัดการการเข้าถึงข้อมูล การจัดการผู้ใช้ การรักษาความปลอดภัย และการให้บริการแอปพลิเคชันต่างๆ แก่เครื่องลูกข่ายในเครือข่ายค่ะ</t>
  </si>
  <si>
    <t>SaaS ย่อมาจาก Software as a Service หรือ ซอฟต์แวร์ในรูปแบบบริการ ค่ะ
SaaS คือรูปแบบการให้บริการซอฟต์แวร์ที่ผู้ให้บริการจะติดตั้งและดูแลรักษาซอฟต์แวร์บนเซิร์ฟเวอร์ของตนเอง และผู้ใช้งานสามารถเข้าถึงซอฟต์แวร์นั้นผ่านทางอินเทอร์เน็ต โดยทั่วไปจะผ่านเว็บเบราว์เซอร์ โดยไม่ต้องติดตั้งโปรแกรมลงบนเครื่องคอมพิวเตอร์ของตนเอง
ลักษณะสำคัญของ SaaS:
การเข้าถึงผ่านอินเทอร์เน็ต: ผู้ใช้สามารถใช้งานได้จากทุกที่ที่มีการเชื่อมต่ออินเทอร์เน็ต
ไม่ต้องติดตั้ง: ไม่จำเป็นต้องติดตั้งซอฟต์แวร์ลงบนเครื่องคอมพิวเตอร์หรืออุปกรณ์ของผู้ใช้
การดูแลรักษาโดยผู้ให้บริการ: ผู้ให้บริการจะเป็นผู้รับผิดชอบในการอัปเดต บำรุงรักษา และแก้ไขปัญหาของซอฟต์แวร์
รูปแบบการจ่ายเงิน: มักจะเป็นการสมัครสมาชิกรายเดือนหรือรายปี (Subscription-based)
ตัวอย่างของ SaaS ที่นิยมใช้:
Gmail: บริการอีเมล
Google Docs/Sheets/Slides: ชุดโปรแกรมสำนักงานออนไลน์
Microsoft 365: ชุดโปรแกรมสำนักงานและบริการคลาวด์
SaaS ช่วยลดภาระด้านการจัดการไอทีของผู้ใช้ และช่วยให้สามารถเข้าถึงซอฟต์แวร์ที่ทันสมัยได้อย่างรวดเร็วค่ะ</t>
  </si>
  <si>
    <t>แถบงาน (Taskbar) ในระบบปฏิบัติการ Windows คือ แถบแนวนอนที่อยู่บริเวณขอบหน้าจอ โดยส่วนใหญ่อยู่ด้านล่างสุด ค่ะ
แถบงานนี้ทำหน้าที่เป็นศูนย์กลางในการเข้าถึงและจัดการโปรแกรมต่างๆ ที่กำลังทำงานอยู่ รวมถึงเป็นที่สำหรับเข้าถึงฟังก์ชันสำคัญของระบบปฏิบัติการ
ส่วนประกอบหลักของแถบงาน:
ปุ่ม Start: ใช้เปิดเมนูหลักเพื่อเข้าถึงโปรแกรม การตั้งค่า และปิดเครื่อง
แถบโปรแกรมด่วน (Quick Launch Toolbar): แสดงไอคอนของโปรแกรมที่ผู้ใช้ปักหมุดไว้ เพื่อให้เปิดใช้งานได้อย่างรวดเร็ว
ไอคอนโปรแกรมที่กำลังทำงาน: แสดงไอคอนของโปรแกรมที่กำลังเปิดใช้งานอยู่ และสามารถคลิกเพื่อสลับไปยังโปรแกรมนั้นๆ ได้
พื้นที่แจ้งเตือน (Notification Area) หรือ System Tray: แสดงไอคอนของโปรแกรมที่ทำงานอยู่เบื้องหลัง เช่น นาฬิกา, ไอคอนเสียง, ไอคอนเครือข่าย, และไอคอนอัปเดตระบบ
แถบงานช่วยให้การใช้งานคอมพิวเตอร์สะดวกและมีประสิทธิภาพมากขึ้น โดยเฉพาะการสลับไปมาระหว่างโปรแกรมต่างๆ ค่ะ</t>
  </si>
  <si>
    <t>อุปกรณ์เอาท์พุต (Output Device) หมายถึง อุปกรณ์ที่ทำหน้าที่แสดงผลข้อมูลที่ผ่านการประมวลผลจากคอมพิวเตอร์ออกมาสู่ผู้ใช้ ค่ะ
พูดง่ายๆ คือ เป็นอุปกรณ์ที่คอมพิวเตอร์ใช้ "บอก" หรือ "แสดง" ผลลัพธ์ให้เราเห็น ได้ยิน หรือสัมผัสได้
ตัวอย่างของอุปกรณ์เอาท์พุตที่พบบ่อย:
จอภาพ (Monitor): แสดงผลข้อมูลในรูปแบบภาพและตัวอักษร
เครื่องพิมพ์ (Printer): พิมพ์เอกสารหรือรูปภาพลงบนกระดาษ
ลำโพง (Speakers): แสดงผลเสียงออกมา
หูฟัง (Headphones): แสดงผลเสียงออกมาให้ได้ยินเฉพาะบุคคล
โปรเจคเตอร์ (Projector): ฉายภาพจากคอมพิวเตอร์ออกไปยังจอรับภาพขนาดใหญ่
อุปกรณ์เหล่านี้จะรับข้อมูลจากหน่วยประมวลผลกลาง (CPU) หรือหน่วยความจำ แล้วแปลงข้อมูลนั้นให้อยู่ในรูปแบบที่มนุษย์สามารถรับรู้ได้ค่ะ</t>
  </si>
  <si>
    <t>หากคุณใช้ iPhone และต้องการเปิดแอปพลิเคชัน YouTube สามารถทำตามขั้นตอนดังนี้ค่ะ:
ค้นหาแอป YouTube: มองหาไอคอนแอป YouTube ซึ่งมีลักษณะเป็นรูปสามเหลี่ยมสีแดงอยู่บนพื้นหลังสีขาว บนหน้าจอโฮมของ iPhone ของคุณ
เปิดแอป: แตะที่ไอคอนแอป YouTube หนึ่งครั้งเพื่อเปิดแอป
เข้าสู่ระบบ (ถ้าจำเป็น): หากคุณยังไม่ได้เข้าสู่ระบบด้วยบัญชี Google บน iPhone ของคุณ ระบบอาจจะขอให้คุณลงชื่อเข้าใช้ (Sign in) โดยใช้อีเมลและรหัสผ่านบัญชี Google ของคุณ การเข้าสู่ระบบจะช่วยให้คุณสามารถเข้าถึงประวัติการดู, การสมัครรับข้อมูล (Subscribe) และการตั้งค่าส่วนตัวได้
ใช้งาน: เมื่อแอปเปิดขึ้นมาแล้ว คุณสามารถใช้แถบค้นหาด้านบนเพื่อค้นหาวิดีโอที่ต้องการ หรือเลือกดูวิดีโอแนะนำจากหน้าแรกได้เลยค่ะ
หากคุณยังไม่ได้ติดตั้งแอป YouTube บน iPhone คุณสามารถดาวน์โหลดได้จาก App Store ค่ะ</t>
  </si>
  <si>
    <t>เมนู Start ในระบบปฏิบัติการ Windows คือ เมนูหลักที่เข้าถึงได้โดยการคลิกที่ปุ่ม Start ซึ่งโดยทั่วไปจะอยู่ที่มุมซ้ายล่างของแถบงาน (Taskbar) ค่ะ
เมนู Start ทำหน้าที่เป็นจุดศูนย์กลางในการเข้าถึงโปรแกรมต่างๆ ที่ติดตั้งอยู่ในคอมพิวเตอร์ของคุณ รวมถึงการเข้าถึงการตั้งค่าระบบ, การค้นหาไฟล์, และตัวเลือกในการปิดหรือรีสตาร์ทเครื่อง
ส่วนประกอบหลักๆ ของเมนู Start ได้แก่:
รายการโปรแกรม (All Apps): แสดงรายการโปรแกรมทั้งหมดที่ติดตั้งอยู่ในเครื่อง เรียงตามลำดับตัวอักษร
โปรแกรมที่ใช้บ่อย (Most used apps): แสดงรายการโปรแกรมที่คุณใช้งานบ่อยที่สุด เพื่อให้เข้าถึงได้รวดเร็ว
โปรแกรมที่ปักหมุด (Pinned apps): คุณสามารถปักหมุดโปรแกรมที่คุณต้องการเข้าถึงบ่อยๆ ไว้ที่นี่ได้
ปุ่มปิดเครื่อง (Power button): ใช้สำหรับเลือกการทำงาน เช่น ปิดเครื่อง (Shut down), รีสตาร์ท (Restart), หรือเข้าสู่โหมดสลีป (Sleep)
การตั้งค่า (Settings): ใช้สำหรับเข้าถึงการตั้งค่าต่างๆ ของ Windows
การค้นหา (Search bar): ใช้สำหรับค้นหาโปรแกรม ไฟล์ หรือการตั้งค่าต่างๆ ในเครื่อง
เมนู Start ช่วยให้การใช้งานคอมพิวเตอร์มีความสะดวกและเป็นระเบียบมากขึ้นค่ะ</t>
  </si>
  <si>
    <t>ผู้ใช้งานทั่วไปหมายถึงใคร</t>
  </si>
  <si>
    <t>ผู้ใช้งานทั่วไป หมายถึง บุคคลที่ใช้คอมพิวเตอร์หรือระบบปฏิบัติการเพื่อวัตถุประสงค์พื้นฐานในชีวิตประจำวัน ค่ะ
โดยทั่วไปแล้ว ผู้ใช้งานทั่วไปจะไม่ได้มีความเชี่ยวชาญด้านเทคนิคเชิงลึก แต่จะใช้คอมพิวเตอร์สำหรับกิจกรรมต่างๆ เช่น:
การทำงานเอกสาร: เช่น การพิมพ์รายงาน, การสร้างตารางข้อมูล
การท่องอินเทอร์เน็ต: เช่น การค้นหาข้อมูล, การเข้าเว็บไซต์ต่างๆ
การสื่อสาร: เช่น การส่งอีเมล, การใช้โปรแกรมแชท
ความบันเทิง: เช่น การดูวิดีโอ, การฟังเพลง, การเล่นเกมที่ไม่ซับซ้อน
การจัดการไฟล์ส่วนตัว: เช่น การจัดเก็บรูปภาพ, เอกสาร
ผู้ใช้งานทั่วไปมักจะใช้ซอฟต์แวร์ประยุกต์สำหรับงานทั่วไป (General Purpose Software) เช่น Microsoft Office, โปรแกรมเว็บเบราว์เซอร์, หรือแอปพลิเคชันบนสมาร์ทโฟนค่ะ</t>
  </si>
  <si>
    <t>การค้นหาด้วย AI หมายถึง การใช้ปัญญาประดิษฐ์ (Artificial Intelligence) มาช่วยในการประมวลผลและตอบสนองต่อคำค้นหาของผู้ใช้ ค่ะ
ระบบ AI จะวิเคราะห์ความต้องการของผู้ใช้ได้อย่างลึกซึ้งกว่าการค้นหาแบบดั้งเดิม โดยสามารถทำความเข้าใจบริบทของคำถาม และให้ผลลัพธ์ที่ตรงประเด็นและมีความเกี่ยวข้องสูง
ลักษณะเด่นของการค้นหาด้วย AI:
การตอบสนองที่รวดเร็วและเจาะลึก: AI สามารถสรุปข้อมูลจากแหล่งต่างๆ จำนวนมาก และนำเสนอคำตอบที่กระชับและตรงประเด็น
ความเข้าใจบริบท: AI สามารถตีความคำถามที่ซับซ้อน หรือคำถามที่ใช้ภาษาพูดได้ดีขึ้น
การสนทนาโต้ตอบ: บางระบบ AI สามารถโต้ตอบกับผู้ใช้เป็นชุดคำถาม-คำตอบ เพื่อให้ได้ข้อมูลที่ต้องการอย่างละเอียด</t>
  </si>
  <si>
    <t>กระบวนการที่ทำให้ข้อมูล (Data) กลายเป็นสารสนเทศ (Information) คือ กระบวนการประมวลผลข้อมูล (Data Processing) ค่ะ
กระบวนการนี้จะนำข้อมูลดิบมาผ่านการจัดการต่างๆ เพื่อให้ได้ผลลัพธ์ที่มีความหมายและเป็นประโยชน์ตามความต้องการของผู้ใช้
ขั้นตอนหลักๆ ในกระบวนการนี้ ได้แก่:
การเก็บรวบรวมข้อมูล (Data Collection): เป็นการรวบรวมข้อมูลดิบจากแหล่งต่างๆ อาจทำโดยการป้อนข้อมูลผ่านแป้นพิมพ์ หรือใช้อุปกรณ์รับข้อมูล
การนำเข้าข้อมูล (Data Input): นำข้อมูลที่รวบรวมได้เข้าสู่ระบบคอมพิวเตอร์
การประมวลผลข้อมูล (Data Processing): เป็นหัวใจสำคัญของกระบวนการนี้ ซึ่งอาจรวมถึง:
การคำนวณ (Calculation): การดำเนินการทางคณิตศาสตร์กับข้อมูลตัวเลข
การจัดกลุ่ม/การจำแนก (Grouping/Classification): การแบ่งข้อมูลออกเป็นหมวดหมู่ตามเกณฑ์ที่กำหนด
การเรียงลำดับ (Sorting): การจัดเรียงข้อมูลตามลำดับ เช่น ตัวอักษร ตัวเลข หรือวันที่
การสรุปผล (Summarization): การย่อข้อมูลให้อยู่ในรูปแบบที่เข้าใจง่ายขึ้น
การกรองข้อมูล (Filtering): การเลือกแสดงเฉพาะข้อมูลที่ตรงตามเงื่อนไขที่ต้องการ
การตีความ (Interpretation): การวิเคราะห์ความหมายของข้อมูล
การจัดเก็บ (Storage): การบันทึกข้อมูลหรือผลลัพธ์ที่ได้จากการประมวลผลไว้ในหน่วยความจำหรือสื่อบันทึกข้อมูล
การนำเสนอ (Presentation): การแสดงผลลัพธ์ที่ได้จากการประมวลผลในรูปแบบที่ผู้ใช้เข้าใจได้ เช่น รายงาน กราฟ หรือตาราง
เมื่อข้อมูลผ่านกระบวนการเหล่านี้แล้ว จะกลายเป็นสารสนเทศที่มีคุณค่า สามารถนำไปใช้ในการตัดสินใจ หรือการดำเนินงานต่อไปได้ค่ะ</t>
  </si>
  <si>
    <t>พื้นหลังแบบ Solid Color คือ พื้นหลังที่มีสีเดียวตลอดทั้งหน้าจอ ค่ะ
โดยทั่วไปแล้ว การตั้งค่าพื้นหลังแบบ Solid Color นี้จะใช้ในบริบทของการปรับแต่งหน้าจอคอมพิวเตอร์ หรือหน้าจอของแอปพลิเคชันต่างๆ เพื่อให้มีลักษณะที่เรียบง่าย ไม่ซับซ้อน
คุณสมบัติหลักของพื้นหลังแบบ Solid Color:
สีเดียว: ใช้สีเพียงสีเดียวตลอดทั้งพื้นที่
เรียบง่าย: ไม่มีลวดลาย หรือรูปภาพใดๆ
ปรับแต่งได้: ผู้ใช้สามารถเลือกสีที่ต้องการได้ตามความชอบ หรือตามวัตถุประสงค์การใช้งาน
การตั้งค่าพื้นหลังแบบ Solid Color นี้สามารถทำได้ผ่านเมนูการปรับแต่งส่วนบุคคล (Personalization) ในระบบปฏิบัติการ Windows ค่ะ</t>
  </si>
  <si>
    <t>ไฟล์ (File) คือ หน่วยพื้นฐานในการจัดเก็บข้อมูลในระบบคอมพิวเตอร์ ค่ะ
เปรียบเสมือนกับเอกสารหรือสิ่งของที่ถูกจัดเก็บไว้ในแฟ้มหรือกล่อง เพื่อความเป็นระเบียบและง่ายต่อการค้นหา
ลักษณะสำคัญของไฟล์:
เก็บข้อมูล: ไฟล์สามารถเก็บข้อมูลได้หลากหลายประเภท เช่น ข้อความ รูปภาพ เสียง วิดีโอ โปรแกรม หรือชุดคำสั่งต่างๆ
มีชื่อ: ไฟล์ทุกไฟล์จะมีชื่อที่ผู้ใช้ตั้งขึ้น เพื่อใช้ในการอ้างอิงและระบุตัวตน
มีนามสกุล (Extension): โดยทั่วไป ไฟล์จะมีนามสกุลต่อท้ายชื่อไฟล์ (เช่น .txt, .jpg, .mp3, .exe) ซึ่งบ่งบอกถึงประเภทของข้อมูลที่อยู่ในไฟล์นั้น และโปรแกรมที่สามารถเปิดใช้งานไฟล์นั้นได้
จัดเก็บในที่เก็บข้อมูล: ไฟล์จะถูกจัดเก็บอยู่บนสื่อบันทึกข้อมูล เช่น ฮาร์ดดิสก์ (Hard Disk Drive - HDD), โซลิดสเตตไดรฟ์ (Solid State Drive - SSD), หรือแฟลชไดรฟ์ (Flash Drive)
การจัดการไฟล์อย่างเป็นระบบ เช่น การตั้งชื่อที่สื่อความหมาย การจัดเก็บในโฟลเดอร์ที่เหมาะสม จะช่วยให้การค้นหาและใช้งานข้อมูลมีประสิทธิภาพมากยิ่งขึ้นค่ะ</t>
  </si>
  <si>
    <t>บริการคลาวด์ (Cloud Service) มีลักษณะการทำงานหลักคือ การให้บริการทรัพยากรคอมพิวเตอร์ผ่านอินเทอร์เน็ต ค่ะ
กล่าวคือ แทนที่จะต้องมีฮาร์ดแวร์ ซอฟต์แวร์ หรือโครงสร้างพื้นฐานต่างๆ อยู่ที่เครื่องคอมพิวเตอร์ของตนเอง ผู้ใช้สามารถเข้าถึงและใช้งานทรัพยากรเหล่านี้ได้จากผู้ให้บริการคลาวด์ผ่านเครือข่ายอินเทอร์เน็ต
ลักษณะการทำงานที่สำคัญของบริการคลาวด์:
การเข้าถึงผ่านอินเทอร์เน็ต: ผู้ใช้สามารถเข้าถึงบริการต่างๆ ได้จากทุกที่ทุกเวลาที่มีการเชื่อมต่ออินเทอร์เน็ต
การให้บริการแบบออนไลน์: ทรัพยากรต่างๆ เช่น พื้นที่จัดเก็บข้อมูล ซอฟต์แวร์ หรือพลังประมวลผล จะถูกจัดการและให้บริการโดยผู้ให้บริการคลาวด์
ความยืดหยุ่นและการขยายระบบ: ผู้ใช้สามารถเพิ่มหรือลดทรัพยากรที่ใช้งานได้ตามความต้องการอย่างรวดเร็ว
การลดต้นทุน: ช่วยลดภาระในการลงทุนซื้อและบำรุงรักษาฮาร์ดแวร์และซอฟต์แวร์ด้วยตนเอง</t>
  </si>
  <si>
    <t>Windows Pro เป็นรุ่นที่เหมาะสำหรับการใช้งานในองค์กรหรือธุรกิจขนาดเล็ก โดยมีฟีเจอร์เพิ่มเติมจากรุ่น Home ดังนี้ค่ะ
ฟีเจอร์หลักของ Windows Pro:
BitLocker Drive Encryption: เป็นเครื่องมือเข้ารหัสข้อมูลบนฮาร์ดดิสก์หรือไดรฟ์ต่างๆ เพื่อป้องกันการเข้าถึงข้อมูลโดยไม่ได้รับอนุญาต หากอุปกรณ์สูญหายหรือถูกขโมย
Remote Desktop: ช่วยให้คุณสามารถเชื่อมต่อและควบคุมคอมพิวเตอร์เครื่องอื่นจากระยะไกลได้ ซึ่งมีประโยชน์มากสำหรับการทำงานจากนอกสถานที่ หรือการสนับสนุนทางเทคนิค
Windows Information Protection (WIP): ช่วยป้องกันข้อมูลสำคัญขององค์กรจากการรั่วไหลโดยไม่ได้ตั้งใจ โดยการแยกข้อมูลส่วนตัวออกจากข้อมูลขององค์กร
Assigned Access: อนุญาตให้คุณกำหนดให้คอมพิวเตอร์ทำงานเป็นแอปพลิเคชันเดียวได้ เหมาะสำหรับอุปกรณ์ที่ใช้ในงานเฉพาะทาง เช่น เครื่องบริการตนเอง (Kiosk)
Group Policy Management: เครื่องมือสำหรับผู้ดูแลระบบไอทีในการจัดการและกำหนดค่าการตั้งค่าต่างๆ ของคอมพิวเตอร์ในเครือข่ายองค์กร</t>
  </si>
  <si>
    <t>สำหรับ Windows 11 ต้องการซีพียูที่มีคุณสมบัติดังนี้ค่ะ:
ซีพียู 64 บิต (64-bit CPU) ที่มีความถี่ 1 GHz ขึ้นไป
มี แถบประมวลผล (Processing threads) ไม่น้อยกว่า 2 แกน (cores)
นอกจากนี้ เมนบอร์ดที่ใช้งานจะต้องรองรับ TPM เวอร์ชัน 2.0 ขึ้นไป และใช้ ไบออสแบบ UEFI ที่รองรับ Secure Boot ด้วยค่ะ</t>
  </si>
  <si>
    <t>การจดทะเบียนโดเมนเนมมีขั้นตอนหลักๆ ดังนี้ค่ะ:
เลือกชื่อโดเมน: คิดชื่อโดเมนที่คุณต้องการ โดยควรมีความเกี่ยวข้องกับธุรกิจหรือเว็บไซต์ของคุณ และตรวจสอบให้แน่ใจว่าชื่อนั้นยังว่างอยู่
ตรวจสอบความว่าง: ใช้เครื่องมือค้นหาของบริษัทรับจดทะเบียนโดเมนเนม (Domain Registrar) เพื่อตรวจสอบว่าชื่อโดเมนที่คุณต้องการยังไม่มีใครจดทะเบียนไป
เลือกผู้ให้บริการจดทะเบียน: เลือกบริษัทที่ให้บริการจดทะเบียนโดเมนเนมที่น่าเชื่อถือ
ดำเนินการซื้อ: กรอกข้อมูลที่จำเป็นและทำการชำระเงินค่าจดทะเบียนโดเมนเนม
กำหนด DNS (Domain Name System): หลังจากจดทะเบียนแล้ว คุณจะต้องกำหนดค่า DNS เพื่อเชื่อมโยงโดเมนเนมของคุณกับเซิร์ฟเวอร์ของเว็บไซต์หรือบริการที่คุณต้องการใช้งาน
โดยทั่วไปแล้ว ผู้ให้บริการจดทะเบียนโดเมนเนมจะมีคำแนะนำและเครื่องมือช่วยในแต่ละขั้นตอนค่ะ</t>
  </si>
  <si>
    <t>ความเร็ว 600/400 Mbps หมายถึงอะไร</t>
  </si>
  <si>
    <t>ความเร็ว 600/400 Mbps หมายถึง:
600 Mbps (Megabits per second): คือความเร็วสูงสุดในการ ดาวน์โหลด ข้อมูลจากอินเทอร์เน็ตมายังอุปกรณ์ของคุณ เช่น การดูวิดีโอ, การดาวน์โหลดไฟล์, การท่องเว็บไซต์
400 Mbps (Megabits per second): คือความเร็วสูงสุดในการ อัปโหลด ข้อมูลจากอุปกรณ์ของคุณไปยังอินเทอร์เน็ต เช่น การอัปโหลดไฟล์, การส่งอีเมลที่มีไฟล์แนบขนาดใหญ่, การเล่นเกมออนไลน์บางประเภท
โดยทั่วไปแล้ว ความเร็วในการดาวน์โหลดจะสูงกว่าความเร็วในการอัปโหลดค่ะ</t>
  </si>
  <si>
    <t>ค่ะ คอมพิวเตอร์มีการแบ่งประเภทการใช้งานตามลักษณะการใช้งานที่แตกต่างกัน ดังนี้ค่ะ
คอมพิวเตอร์ใช้งานทั่วไป (General Purpose Computers): เป็นเครื่องคอมพิวเตอร์ที่ใช้ในชีวิตประจำวันทั่วไป เช่น คอมพิวเตอร์ตั้งโต๊ะ (Desktop) หรือโน้ตบุ๊ก (Notebook) สำหรับงานเอกสาร การท่องอินเทอร์เน็ต การเล่นเกม หรือความบันเทิง
คอมพิวเตอร์ใช้งานเฉพาะด้าน (Special Purpose Computers): เป็นเครื่องที่ถูกออกแบบมาเพื่อทำงานเฉพาะอย่าง เช่น ระบบควบคุมการบิน เครื่องมือแพทย์ หรือระบบควบคุมในโรงงานอุตสาหกรรม ซึ่งจะมีความสามารถและฟังก์ชันที่จำกัดอยู่เฉพาะงานนั้นๆ</t>
  </si>
  <si>
    <t>มินิคอมพิวเตอร์และเมนเฟรมคอมพิวเตอร์มีความแตกต่างกันในหลายด้านค่ะ ดังนี้
ขนาดและกำลังการประมวลผล:
เมนเฟรมคอมพิวเตอร์ (Mainframe Computer): มีขนาดใหญ่มาก มีกำลังการประมวลผลสูงมาก สามารถรองรับการทำงานของผู้ใช้จำนวนมากพร้อมกันได้ เหมาะสำหรับองค์กรขนาดใหญ่ เช่น ธนาคาร หรือหน่วยงานราชการ
มินิคอมพิวเตอร์ (Minicomputer): มีขนาดเล็กกว่าเมนเฟรม แต่ก็ยังสามารถรองรับการทำงานของผู้ใช้หลายคนได้ เหมาะสำหรับองค์กรขนาดกลาง
จำนวนผู้ใช้งานพร้อมกัน:
เมนเฟรม: รองรับผู้ใช้งานพร้อมกันได้หลายพันคน
มินิคอมพิวเตอร์: รองรับผู้ใช้งานพร้อมกันได้หลักสิบถึงหลักร้อยคน
ราคา:
เมนเฟรม: มีราคาสูงมาก
มินิคอมพิวเตอร์: มีราคาย่อมเยากว่าเมนเฟรม
การใช้งาน:
เมนเฟรม: ใช้ในงานประมวลผลข้อมูลจำนวนมหาศาล การทำธุรกรรมทางการเงิน การจัดการฐานข้อมูลขนาดใหญ่
มินิคอมพิวเตอร์: ใช้ในงานเฉพาะทางของแผนกต่างๆ ในองค์กรขนาดกลาง หรือเป็นเซิร์ฟเวอร์สำหรับเครือข่ายขนาดเล็กถึงกลาง
โดยสรุป เมนเฟรมเป็นคอมพิวเตอร์ที่มีประสิทธิภาพสูงสุดและรองรับผู้ใช้จำนวนมากที่สุด ในขณะที่มินิคอมพิวเตอร์เป็นทางเลือกที่ย่อมเยากว่าและรองรับผู้ใช้ในจำนวนที่น้อยลงมาค่ะ</t>
  </si>
  <si>
    <t>เมื่อเลิกใช้งาน Gmail และต้องการออกจากระบบเพื่อความปลอดภัยของข้อมูล สามารถทำตามขั้นตอนดังนี้ค่ะ
คลิกที่ รูปโปรไฟล์ ของคุณ ซึ่งจะอยู่ที่บริเวณมุมขวาบนของหน้าจอ
เลือกเมนู "Sign out" (ออกจากระบบ)
การออกจากระบบทุกครั้งที่ใช้งานเสร็จสิ้นจะช่วยป้องกันไม่ให้ผู้อื่นเข้าถึงบัญชีอีเมลของคุณได้ค่ะ</t>
  </si>
  <si>
    <t>Gmail ทำงานในลักษณะของบริการอีเมลบนคลาวด์ค่ะ ซึ่งหมายความว่าข้อมูลอีเมลของคุณจะถูกจัดเก็บและประมวลผลบนเซิร์ฟเวอร์ของ Google ทำให้คุณสามารถเข้าถึงได้จากทุกที่ที่มีอินเทอร์เน็ต
หลักการทำงานพื้นฐานมีดังนี้ค่ะ:
การส่งอีเมล: เมื่อคุณส่งอีเมล ข้อความและไฟล์แนบจะถูกส่งผ่านอินเทอร์เน็ตไปยังเซิร์ฟเวอร์ของ Gmail จากนั้นเซิร์ฟเวอร์จะทำการส่งต่อไปยังเซิร์ฟเวอร์ของผู้รับ
การรับอีเมล: อีเมลที่ส่งมาถึงคุณจะถูกจัดเก็บไว้บนเซิร์ฟเวอร์ของ Gmail เมื่อคุณเข้าสู่ระบบ Gmail ผ่านเว็บเบราว์เซอร์หรือแอปพลิเคชัน เซิร์ฟเวอร์จะดึงอีเมลเหล่านั้นมาแสดงให้คุณเห็น
การจัดเก็บ: Gmail ให้พื้นที่จัดเก็บอีเมลและไฟล์แนบในรูปแบบคลาวด์ ซึ่งคุณสามารถเข้าถึงได้จากอุปกรณ์ต่างๆ ที่ลงชื่อเข้าใช้บัญชี Google ของคุณ
ด้วยลักษณะนี้ ทำให้ Gmail มีความสะดวกในการใช้งาน สามารถส่ง รับ และจัดเก็บจดหมายได้อย่างรวดเร็วและมีประสิทธิภาพค่ะ</t>
  </si>
  <si>
    <t>เครื่องอ่านบาร์โค้ดอ่านข้อมูลโดยอาศัยหลักการแปลงแถบสีดำและขาวบนบาร์โค้ดให้เป็นข้อมูลดิจิทัลค่ะ กระบวนการทำงานมีดังนี้:
การส่องแสง: เครื่องอ่านบาร์โค้ดจะยิงแสง (ส่วนใหญ่มักเป็นแสงเลเซอร์หรือ LED) ไปยังบาร์โค้ด
การสะท้อนแสง: แถบสีดำบนบาร์โค้ดจะดูดซับแสง ในขณะที่แถบสีขาวจะสะท้อนแสงกลับ
การตรวจจับแสง: เซ็นเซอร์ในเครื่องอ่านจะตรวจจับรูปแบบการสะท้อนแสงที่แตกต่างกันนี้
การแปลงเป็นข้อมูลดิจิทัล: รูปแบบการสะท้อนแสงที่ตรวจจับได้จะถูกแปลงเป็นสัญญาณไฟฟ้า ซึ่งจะถูกตีความเป็นตัวเลขหรือตัวอักษรตามมาตรฐานของบาร์โค้ดนั้นๆ
การส่งข้อมูล: ข้อมูลที่ถอดรหัสได้จะถูกส่งไปยังคอมพิวเตอร์หรือระบบ POS (Point of Sale) เพื่อนำไปประมวลผลต่อไป เช่น การแสดงราคาสินค้า หรือการบันทึกข้อมูลการขาย</t>
  </si>
  <si>
    <t>การปรับความสว่างหน้าจอคอมพิวเตอร์เพื่อถนอมสายตา ควรปรับให้มีความสว่าง ใกล้เคียงกับสภาพแสงแวดล้อมโดยรอบ ค่ะ
ไม่ควรสว่างจ้าเกินไป: หากหน้าจอสว่างกว่าสภาพแวดล้อมมากเกินไป จะทำให้ดวงตาต้องทำงานหนักเพื่อปรับตัว และอาจเกิดอาการตาล้า ปวดตา หรือแสบตาได้
ไม่ควรสว่างน้อยเกินไป: ในทางกลับกัน หากหน้าจอมืดเกินไปเมื่อเทียบกับสภาพแวดล้อม ก็จะทำให้ต้องเพ่งสายตามากขึ้น ซึ่งส่งผลเสียต่อดวงตาเช่นกัน
ดังนั้น วิธีที่ดีที่สุดคือการสังเกตสภาพแสงในห้องที่คุณใช้งาน หากแสงสว่างมาก ก็ปรับหน้าจอให้สว่างขึ้นตามลำดับ และหากแสงสลัวลง ก็ควรลดความสว่างหน้าจอลงตามไปด้วยค่ะ</t>
  </si>
  <si>
    <t>"Themes ของ Sounds" ในระบบปฏิบัติการ Windows ใช้สำหรับ ปรับแต่งเสียงแจ้งเตือนต่างๆ ของระบบ ค่ะ
เมื่อคุณเลือกใช้ "Themes" (ชุดรูปแบบ) ใน Windows ระบบจะมีการตั้งค่าต่างๆ ที่เกี่ยวข้องกับรูปลักษณ์และการทำงานของระบบให้เป็นไปในทิศทางเดียวกัน ซึ่งรวมถึงเสียงที่ใช้ในการแจ้งเตือนเหตุการณ์ต่างๆ ด้วย
การแจ้งเตือน: เช่น เสียงเมื่อมีข้อความเข้า, เสียงเมื่อเปิดเครื่อง, เสียงเมื่อปิดเครื่อง, เสียงเมื่อเกิดข้อผิดพลาด หรือเสียงเมื่อมีการแจ้งเตือนจากโปรแกรมต่างๆ
การปรับแต่ง: คุณสามารถเลือกชุดเสียงที่ต้องการ หรือกำหนดเสียงเฉพาะสำหรับแต่ละเหตุการณ์ได้ เพื่อให้การใช้งานคอมพิวเตอร์มีความเป็นส่วนตัวและน่าพึงพอใจมากขึ้นค่ะ</t>
  </si>
  <si>
    <t>มีเทคนิคหลายอย่างที่ช่วยให้การค้นหาข้อมูลใน Google ได้ผลลัพธ์ที่ตรงประเด็นมากขึ้นค่ะ ลองใช้เทคนิคเหล่านี้ดูนะคะ:
ใช้เครื่องหมายคำพูด ("..."): หากต้องการค้นหาคำหรือวลีที่ต้องตรงกันทุกประการ ให้ใส่เครื่องหมายคำพูดครอบวลีนั้น เช่น "การปรับแต่งหน้าจอ Windows" จะช่วยให้ Google ค้นหาเฉพาะหน้าที่คำนี้ปรากฏอยู่ทั้งหมด
ใช้เครื่องหมายบวก (+) และลบ (-):
เครื่องหมายบวก (+): ใช้เพื่อบังคับให้ Google รวมคำนั้นๆ ในผลการค้นหา (แม้ว่าปกติ Google อาจจะมองข้ามคำที่พบบ่อย) เช่น การเรียน +ภาษาอังกฤษ
เครื่องหมายลบ (-): ใช้เพื่อยกเว้นคำที่ไม่ต้องการให้ปรากฏในผลการค้นหา เช่น แมว -พันธุ์ไทย เพื่อค้นหาข้อมูลเกี่ยวกับแมว แต่ไม่ต้องการผลลัพธ์ที่เกี่ยวกับแมวพันธุ์ไทย
ใช้คำหลักที่เฉพาะเจาะจง: ยิ่งคำที่คุณใช้ค้นหามีความเฉพาะเจาะจงมากเท่าไร ผลลัพธ์ก็จะยิ่งตรงกับความต้องการมากขึ้นเท่านั้น แทนที่จะค้นหาว่า "คอมพิวเตอร์" ลองค้นหา "สเปคคอมพิวเตอร์สำหรับเล่นเกม" หรือ "วิธีแก้ไขปัญหาคอมพิวเตอร์ค้าง"
ใช้คำสั่งค้นหาขั้นสูง (Advanced Search): Google มีหน้าการค้นหาขั้นสูงที่ช่วยให้คุณสามารถกำหนดเงื่อนไขการค้นหาได้ละเอียดขึ้น เช่น การจำกัดการค้นหาเฉพาะบางเว็บไซต์, การค้นหาไฟล์ประเภทใดประเภทหนึ่ง (เช่น PDF, DOC), หรือการค้นหาข้อมูลในช่วงวันที่ที่กำหนด
ใช้คำที่เกี่ยวข้องกับประเภทของข้อมูล: หากคุณต้องการค้นหาข้อมูลประเภทใดเป็นพิเศษ ลองใส่คำที่บ่งบอกประเภทนั้นๆ เช่น "วิธีทำ" สำหรับคู่มือ, "ราคา" สำหรับข้อมูลสินค้า, "รีวิว" สำหรับความคิดเห็น
การค้นหาด้วยเสียงหรือภาพ: หากคุณมีอุปกรณ์ที่รองรับ คุณสามารถใช้การค้นหาด้วยเสียง หรือการค้นหาด้วยภาพ (Google Lens) เพื่อให้ได้ผลลัพธ์ที่แม่นยำยิ่งขึ้นในบางสถานการณ์
การผสมผสานเทคนิคเหล่านี้จะช่วยให้คุณค้นหาข้อมูลที่ต้องการได้อย่างมีประสิทธิภาพมากขึ้นค่ะ</t>
  </si>
  <si>
    <t>การสร้างชอร์ตคัต (Shortcut) บนเดสก์ท็อปในระบบปฏิบัติการ Windows สามารถทำได้ง่ายๆ ค่ะ โดยมีขั้นตอนดังนี้:
ค้นหาไฟล์หรือโปรแกรมที่ต้องการสร้างชอร์ตคัต:
เปิด File Explorer (หน้าต่างที่ใช้จัดการไฟล์และโฟลเดอร์)
ไปยังตำแหน่งที่เก็บไฟล์หรือโปรแกรมที่คุณต้องการสร้างชอร์ตคัต
สร้างชอร์ตคัต:
คลิกขวา ที่ไฟล์หรือโปรแกรมนั้น
เลือกเมนู "Show more options" (หากคุณใช้ Windows 11)
เลือก "Send to"
เลือก "Desktop (create shortcut)"
เมื่อทำตามขั้นตอนนี้แล้ว ชอร์ตคัตของไฟล์หรือโปรแกรมนั้นจะปรากฏขึ้นบนหน้าเดสก์ท็อปของคุณทันที ทำให้คุณสามารถเปิดใช้งานได้สะดวกยิ่งขึ้นค่ะ</t>
  </si>
  <si>
    <t>ระบบปฏิบัติการ iOS ถูกพัฒนาขึ้นโดย Apple Inc. และใช้กับอุปกรณ์ของ Apple เองเป็นหลักค่ะ โดยหลักๆ แล้วจะพบได้ใน:
iPhone: เป็นสมาร์ทโฟนรุ่นหลักของ Apple
iPad: แท็บเล็ตของ Apple
iPod Touch: เครื่องเล่นเพลงแบบพกพาที่มีความสามารถใกล้เคียงสมาร์ทโฟน (ปัจจุบันไม่ค่อยมีการผลิตรุ่นใหม่แล้ว)
ดังนั้น หากพูดถึง iOS จะหมายถึงระบบปฏิบัติการที่ทำงานบนอุปกรณ์เหล่านี้ค่ะ</t>
  </si>
  <si>
    <t>การคัดลอกไฟล์หรือโฟลเดอร์ในระบบ Windows สามารถทำได้หลายวิธีค่ะ วิธีที่นิยมใช้กันมีดังนี้:
การใช้เมนูคลิกขวา:
คลิกขวา ที่ไฟล์หรือโฟลเดอร์ที่ต้องการคัดลอก
เลือก "Copy" (คัดลอก)
ไปที่ตำแหน่งปลายทางที่คุณต้องการวางไฟล์หรือโฟลเดอร์นั้น
คลิกขวา ในพื้นที่ว่างของโฟลเดอร์ปลายทาง
เลือก "Paste" (วาง)
การใช้ปุ่มลัดบนคีย์บอร์ด:
คลิกขวา ที่ไฟล์หรือโฟลเดอร์ที่ต้องการคัดลอก แล้วเลือก "Copy" หรือกดปุ่ม Ctrl + C บนคีย์บอร์ด
ไปที่ตำแหน่งปลายทาง
กดปุ่ม Ctrl + V บนคีย์บอร์ดเพื่อวาง
การลากและวาง (Drag and Drop):
เปิดหน้าต่าง File Explorer สองหน้าต่าง โดยหน้าต่างแรกแสดงไฟล์ต้นฉบับ และหน้าต่างที่สองแสดงโฟลเดอร์ปลายทาง
กดปุ่ม Ctrl ค้างไว้
คลิกซ้าย ที่ไฟล์หรือโฟลเดอร์ที่ต้องการคัดลอก แล้ว ลาก ไปยังหน้าต่างโฟลเดอร์ปลายทาง
ปล่อยปุ่มเมาส์และปุ่ม Ctrl เมื่อไฟล์หรือโฟลเดอร์อยู่ในตำแหน่งที่ต้องการ
หากมีชื่อไฟล์ซ้ำกันในปลายทาง ระบบจะแจ้งเตือนให้คุณเลือกว่าจะแทนที่ไฟล์เดิม หรือเก็บทั้งสองไฟล์ไว้ค่ะ</t>
  </si>
  <si>
    <t>การจัดเรียงไฟล์ตาม Date Modified (วันที่แก้ไขล่าสุด) จะช่วยให้คุณเห็นไฟล์ที่ถูกเปลี่ยนแปลงหรือบันทึกครั้งล่าสุดได้ง่ายขึ้นค่ะ
ประโยชน์หลักๆ ของการจัดเรียงตามนี้คือ:
การติดตามงานล่าสุด: คุณจะเห็นไฟล์ที่เพิ่งทำงานเสร็จ หรือไฟล์ที่มีการแก้ไขล่าสุดปรากฏขึ้นมา ทำให้ทราบความคืบหน้าของงาน
การค้นหาไฟล์ที่เพิ่งแก้ไข: หากคุณจำไม่ได้ว่าบันทึกไฟล์ไว้ที่ไหน หรือต้องการหาไฟล์ที่เพิ่งทำเสร็จ การจัดเรียงตามวันที่แก้ไขจะช่วยให้คุณหาเจอได้รวดเร็ว
การจัดการเวอร์ชันไฟล์: ช่วยให้เห็นว่าไฟล์ไหนเป็นเวอร์ชันล่าสุดที่ถูกบันทึกไว้
โดยทั่วไป การจัดเรียงแบบนี้จะแสดงไฟล์ที่ถูกแก้ไขล่าสุดไว้ด้านบนสุด และไฟล์ที่ถูกแก้ไขนานที่สุดอยู่ด้านล่างสุดค่ะ</t>
  </si>
  <si>
    <t>ระบบปฏิบัติการ (Operating System - OS) มีความสำคัญอย่างยิ่งในการเชื่อมต่อผู้ใช้กับคอมพิวเตอร์เพราะทำหน้าที่เป็น ส่วนเชื่อมต่อหลัก ระหว่างผู้ใช้กับฮาร์ดแวร์ของเครื่องค่ะ
เหตุผลที่ระบบปฏิบัติการสำคัญมีดังนี้:
การใช้งานที่ง่ายขึ้น: ระบบปฏิบัติการจะแปลงคำสั่งที่ซับซ้อนของฮาร์ดแวร์ให้เป็นอินเทอร์เฟซที่ผู้ใช้เข้าใจได้ง่าย เช่น ไอคอน เมนู และหน้าต่าง ทำให้ผู้ใช้สามารถโต้ตอบกับคอมพิวเตอร์ได้โดยไม่ต้องมีความรู้เชิงลึกเกี่ยวกับฮาร์ดแวร์
การจัดการทรัพยากร: ระบบปฏิบัติการทำหน้าที่จัดการทรัพยากรต่างๆ ของคอมพิวเตอร์ เช่น หน่วยประมวลผลกลาง (CPU), หน่วยความจำ (RAM), และอุปกรณ์ต่อพ่วงต่างๆ เพื่อให้โปรแกรมต่างๆ สามารถทำงานร่วมกันได้อย่างราบรื่นและมีประสิทธิภาพ
การติดตั้งและเรียกใช้โปรแกรม: ระบบปฏิบัติการเป็นตัวกลางที่ทำให้เราสามารถติดตั้งและเรียกใช้งานโปรแกรมประยุกต์ (Application Software) ต่างๆ ได้ หากไม่มีระบบปฏิบัติการ โปรแกรมเหล่านั้นก็ไม่สามารถทำงานได้
กล่าวโดยสรุป ระบบปฏิบัติการเปรียบเสมือนล่ามและผู้จัดการ ที่ทำให้ผู้ใช้สามารถสั่งงานและรับผลลัพธ์จากคอมพิวเตอร์ได้อย่างมีประสิทธิภาพค่ะ</t>
  </si>
  <si>
    <t>Category.1</t>
  </si>
  <si>
    <t>Category.2</t>
  </si>
  <si>
    <t>ห</t>
  </si>
  <si>
    <t>ลักการทำงานของคอมพิวเตอร์</t>
  </si>
  <si>
    <t>2</t>
  </si>
  <si>
    <t>.1.1 ความหมายของระบบปฏิบัติการ</t>
  </si>
  <si>
    <t>3</t>
  </si>
  <si>
    <t>.1.1 ความหมายของอินเทอร์เน็ต</t>
  </si>
  <si>
    <t>1</t>
  </si>
  <si>
    <t>.2.1.2 คอมพิวเตอร์ใช้งานเฉพาะด้าน</t>
  </si>
  <si>
    <t>.2.3.2.5 TPM สำหรับวินโดวส์ 11</t>
  </si>
  <si>
    <t>.3.1.6 อุปกรณ์เสริมการใช้งาน</t>
  </si>
  <si>
    <t>.3.2.3 ซอฟต์แวร์ประยุกต์</t>
  </si>
  <si>
    <t>.1.2.3 ความสำคัญต่อการจัดการไฟล์และโฟลเดอร์</t>
  </si>
  <si>
    <t>.3.3.3 โปรแกรมเมอร์</t>
  </si>
  <si>
    <t>.1.5.2 การเชื่อมต่อแบบองค์กร</t>
  </si>
  <si>
    <t>.1.6.5 ลักษณะการให้บริการของอินเทอร์เน็ตองค์กร</t>
  </si>
  <si>
    <t>.2.7.3 ความหมายของ Platform as a Service (PaaS)</t>
  </si>
  <si>
    <t>.4.1.3 Display setting</t>
  </si>
  <si>
    <t>.1.3.2.1 ระบบปฏิบัติการแบบโอเพนซอร์ซ</t>
  </si>
  <si>
    <t>.1.4.2 โดเมนเนม 3 ระดับ</t>
  </si>
  <si>
    <t>.2.5 ข้อดีของของการให้บริการคลาวด์ในอินเทอร์เน็ต</t>
  </si>
  <si>
    <t>.2.3.1.4 ความต้องการของวินโดวส์ 10</t>
  </si>
  <si>
    <t>.2.2.2 รูปแบบ FPP</t>
  </si>
  <si>
    <t>.3.1.2.3 ไอคอนถังขยะ</t>
  </si>
  <si>
    <t>.3.1.1 ความหมายของฮาร์ดแวร์</t>
  </si>
  <si>
    <t>.3.1.7 ตัวชี้เม้าส์</t>
  </si>
  <si>
    <t>.7.3.2 เทคโนโลยีด้านการสื่อสารและโทรคมนาคม</t>
  </si>
  <si>
    <t>.5.3.1 เมนูของ Gmail</t>
  </si>
  <si>
    <t>.4.5.1 ขั้นตอนการใช้งานโปรแกรมถนอมจอภาพ</t>
  </si>
  <si>
    <t xml:space="preserve">.4.6.1.5 การกำหนด Desktop Icon Setting </t>
  </si>
  <si>
    <t>.5.1.2 เครื่องพิมพ์เลเซอร์</t>
  </si>
  <si>
    <t>.6.1.2 ขั้นตอนการใช้งานแอปพลิเคชั่น Gmail บนอุปกรณ์เคลื่อนที่ระบบปฏิบัติการ ios</t>
  </si>
  <si>
    <t>.6.3.2 ขั้นตอนการใช้งานแอปพลิเคชั่น Google Calendar บนอุปกรณ์เคลื่อนที่ระบบปฏิบัติการ android</t>
  </si>
  <si>
    <t>.5.4.2 ไมโครโฟนแบบคอนเด็นเซอร์</t>
  </si>
  <si>
    <t>.4.3.2 ปรับความละเอียดการแสดงผลบนจอภาพ</t>
  </si>
  <si>
    <t>.6.1.3 แอปพลิเคชั่นบนระบบปฏิบัติการในอุปกรณ์เคลื่อนที่ ios</t>
  </si>
  <si>
    <t>.4.2.2.1 Name</t>
  </si>
  <si>
    <t>.4.4.2 Colors</t>
  </si>
  <si>
    <t>.4.1.2 การใช้งานและการบำรุงรักษาเครื่อง</t>
  </si>
  <si>
    <t>.7.1.1 ขั้นตอนการแสดงข้อมูลในโฟลเดอร์ Document</t>
  </si>
  <si>
    <t>.4.1 ความสำคัญของการมีบัญชี google</t>
  </si>
  <si>
    <t>.7.4.3 ขั้นตอนการสร้างโฟลเดอร์</t>
  </si>
  <si>
    <t>.7.4.7 ขั้นตอนการย้ายไฟล์หรือโฟลเดอร์</t>
  </si>
  <si>
    <t>.3.3 ลักษณะการค้นหาแบบ Intelligent Search</t>
  </si>
  <si>
    <t>.1.1.1 ความหมายของซอฟต์แวร์ระบบ</t>
  </si>
  <si>
    <t>.1.1 ความหมายของคอมพิวเตอร์</t>
  </si>
  <si>
    <t>.3.2.3.1 ซอฟต์แวร์ประยุกต์ทั่วไป</t>
  </si>
  <si>
    <t>.2.2.1 ซุปเปอร์คอมพิวเตอร์</t>
  </si>
  <si>
    <t>.2.3.2.1 ซีพียูสำหรับวินโดวส์ 11</t>
  </si>
  <si>
    <t>.1.3.2.2 ระบบปฏิบัติการที่มีค่าลิขสิทธิ์</t>
  </si>
  <si>
    <t>.2.2.3 รูปแบบ VL</t>
  </si>
  <si>
    <t>.1.4.3 โดเมนเนมที่ใช้กำหนดประเภทขององค์กร</t>
  </si>
  <si>
    <t>.1.2 วิธีการในการติดต่อบนระบบบอินเทอร์เน็ต</t>
  </si>
  <si>
    <t>.1.2.4 ความสำคัญต่อการจัดสรรทรัพยากรในระบบ</t>
  </si>
  <si>
    <t>.1.6.1 ความเร็วดาวน์โหลด</t>
  </si>
  <si>
    <t>.3.2.1 ความหมายของซอฟต์แวร์</t>
  </si>
  <si>
    <t>.4.1.4 Personalize</t>
  </si>
  <si>
    <t>.3.2.1 ขั้นตอนการตรวจสอบผ่านไอคอน This PC บน Desktop</t>
  </si>
  <si>
    <t xml:space="preserve">.2.6 ข้อสังเกตุของของการให้บริการคลาวด์ในอินเทอร์เน็ต </t>
  </si>
  <si>
    <t>.3.1.3 ปุ่มสตาร์ท</t>
  </si>
  <si>
    <t>.2.1 ความแตกต่างของบริการอินเทอร์เน็ตในยุคเก่าและยุคปัจจบัน</t>
  </si>
  <si>
    <t>.3.1.2 อุปกรณ์ภายในตัวเครื่อง</t>
  </si>
  <si>
    <t>.2.3.2.6 ไบออสสำหรับวินโดวส์ 11</t>
  </si>
  <si>
    <t>.3.3.1.1 ขั้้นตอนการค้นหาข้อมูลด้วยเสียง</t>
  </si>
  <si>
    <t>.6.2.1 ลักษณะการทำงานของ Youtube</t>
  </si>
  <si>
    <t>.4.2.2.2 Size</t>
  </si>
  <si>
    <t>.5.1.3 เครื่องพิมพ์อิงก์เจ็ต</t>
  </si>
  <si>
    <t>.7.4.4 ขั้นตอนการเปลี่ยนชื่อไฟล์และโฟลเดอร์</t>
  </si>
  <si>
    <t>.4.6.1.1 การปรับ Themes ของ Background</t>
  </si>
  <si>
    <t>.6.1.4 แอปพลิเคชั่นบนระบบปฏิบัติการในอุปกรณ์เคลื่อนที่ android</t>
  </si>
  <si>
    <t>.4.3.3 ปรับการวางแนวของจอภาพ</t>
  </si>
  <si>
    <t>.6.3.3 ขั้นตอนการใช้งานแอปพลิเคชั่น Google Calendar บนอุปกรณ์เคลื่อนที่ระบบปฏิบัติการ ios</t>
  </si>
  <si>
    <t>.3.1 ลักษณะการค้นหาแบบ Search Engine</t>
  </si>
  <si>
    <t>.4.4.3 Lock Screen</t>
  </si>
  <si>
    <t>.7.4.8 ขั้นตอนการลบไฟล์หรือโฟลเดอร์</t>
  </si>
  <si>
    <t>.4.2.1 ท่านั่งทำงานกับคอมพิวเตอร์</t>
  </si>
  <si>
    <t>.7.2.1 ขั้นตอนการแสดงข้อมูลในไดรฟ์ต่าง ๆ</t>
  </si>
  <si>
    <t>.5.5.1 ลักษณะการทำงานของกล้องดิจิทัล</t>
  </si>
  <si>
    <t>.4.2 ขั้นตอนการลงทะเบียนบัญชี google</t>
  </si>
  <si>
    <t>.5.1.1 ขั้นตอนการปรับวันที่และเวลา</t>
  </si>
  <si>
    <t>.5.3.2 ขั้นตอนการปรับแต่งให้แสดงเป็นภาษาไทย</t>
  </si>
  <si>
    <t>.3.3.4 ผู้ดูแลระบบ</t>
  </si>
  <si>
    <t>.2.3 ลักษณะของการให้บริการคลาวด์ในอินเทอร์เน็ต</t>
  </si>
  <si>
    <t>.3.2.2.1 ระบบปฏิบัติการ (OS)</t>
  </si>
  <si>
    <t>.4.1.1 View</t>
  </si>
  <si>
    <t>.3.1.2.1 ไอคอนผู้ใช้งาน</t>
  </si>
  <si>
    <t>.1.4 ความหมายของโดเมนเนม</t>
  </si>
  <si>
    <t>.2.1.2 Windows Pro</t>
  </si>
  <si>
    <t>.2.3.2.3 แกนประมวลผลสำหรับวินโดวส์ 11</t>
  </si>
  <si>
    <t>.1.4.5 ขั้นตอนการจดทะเบียนเพื่อใช้งานโดเมนเนม</t>
  </si>
  <si>
    <t>.2.3.1.2 ความถี่สำหรับวินโดวส์ 10</t>
  </si>
  <si>
    <t>.1.6.3 การกำหนดความเร็วของผู้ให้บริการ</t>
  </si>
  <si>
    <t>.2.1 แบ่งตามลักษณะการใช้งาน</t>
  </si>
  <si>
    <t>.3.3.1 ความหมายของพีเพิลแวร์</t>
  </si>
  <si>
    <t>.1.3.1.2 ระบบปฏิบัติการบนเครื่องแม่ข่าย</t>
  </si>
  <si>
    <t>.1.2.1 ความสำคัญส่วนเชื่อมต่อผู้ใช้งาน</t>
  </si>
  <si>
    <t>.2.7.1 ความหมายของ Software as a Service (SaaS)</t>
  </si>
  <si>
    <t>.3.1.5 แถบงาน</t>
  </si>
  <si>
    <t>.3.1.4 อุปกรณ์เอาท์พุต</t>
  </si>
  <si>
    <t>.2.2.3 มินิคอมพิวเตอร์</t>
  </si>
  <si>
    <t>.6.2.3 ขั้นตอนการใช้งานแอปพลิเคชั่น Youtube บนอุปกรณ์เคลื่อนที่ระบบปฏิบัติการ ios</t>
  </si>
  <si>
    <t>.4.2.1.2 กำหนดการจัดเรียงไอคอน</t>
  </si>
  <si>
    <t>.5.3.4 การออกจากระบบเมื่อเลิกใช้งาน</t>
  </si>
  <si>
    <t>.4.4.5 Start</t>
  </si>
  <si>
    <t>.5.2 ลักษณะการทำงานของ Gmail</t>
  </si>
  <si>
    <t>.3.3.6 ผู้ใช้งานทั่วไป</t>
  </si>
  <si>
    <t>.3.3.2 การค้นหาข้อมูลด้วย AI</t>
  </si>
  <si>
    <t>.7.2.1 กระบวนการของสารสนเทศ</t>
  </si>
  <si>
    <t>.4.4.1.2 Solid Color</t>
  </si>
  <si>
    <t>.7.4.1 ความหมายของไฟล์</t>
  </si>
  <si>
    <t>.5.3.1 ลักษณะการทำงานของเครื่องอ่านบาร์โค้ด</t>
  </si>
  <si>
    <t>.4.2.3 ความสว่างของจอมอนิเตอร์</t>
  </si>
  <si>
    <t>.4.6.1.3 การปรับ Themes ของ Sounds</t>
  </si>
  <si>
    <t>.3.1.2 เทคนิคการกำหนดรูปแบบการค้นหา</t>
  </si>
  <si>
    <t>.5.3.1 ขั้นตอนการสร้างชอร์ตคัต</t>
  </si>
  <si>
    <t>.6.1.1 ระบบปฏิบัติการ ios</t>
  </si>
  <si>
    <t>.7.4.6 ขั้นตอนการคัดลอกไฟล์หรือโฟลเดอร์</t>
  </si>
  <si>
    <t>.4.2.2.4 Date Modified</t>
  </si>
  <si>
    <t>.2.3.1.3 หน่วยความจำสำหรับวินโดวส์ 10</t>
  </si>
  <si>
    <t>.1.5.1 การเชื่อมต่อส่วนบุคคล</t>
  </si>
  <si>
    <t>.2.1.1 คอมพิวเตอร์ใช้งานทั่วไป</t>
  </si>
  <si>
    <t>.2.2.1 รูปแบบ OEM</t>
  </si>
  <si>
    <t>.3.1.2.2 ไอคอนคอมพิวเตอร์</t>
  </si>
  <si>
    <t>.4.1.1 การติดตั้งเครื่องคอมพิวเตอร์</t>
  </si>
  <si>
    <t>.2.2.4 ไมโครคอมพิวเตอร์</t>
  </si>
  <si>
    <t>.4.2.1.3 กำหนดการแสดงผลไอคอน</t>
  </si>
  <si>
    <t>.3.1.6 แถบระบบ</t>
  </si>
  <si>
    <t>.1.2.2 ความสำคัญต่อการติดตั้งซอฟต์แวร์ประยุกต์</t>
  </si>
  <si>
    <t>.3.2 ลักษณะการค้นหาแบบ Search Directories</t>
  </si>
  <si>
    <t>.4.1.2 Sort by</t>
  </si>
  <si>
    <t>.6.3.1 ลักษณะการทำงานของ Google Calendar</t>
  </si>
  <si>
    <t>.6.1.2 ระบบปฏิบัติการ android</t>
  </si>
  <si>
    <t>.1.4.1 โดเมนเนม 2 ระดับ</t>
  </si>
  <si>
    <t>.4.4.1.3 Slide Show</t>
  </si>
  <si>
    <t>.1.6.4 ลักษณะการให้บริการของอินเทอร์เน็ตบ้าน</t>
  </si>
  <si>
    <t>.4.4.6 Taskbar</t>
  </si>
  <si>
    <t>.6.1 ขั้นตอนการเปิดโปรแกรมเพื่อใช้งาน</t>
  </si>
  <si>
    <t>.3.3.2 นักวิเคราะห์ระบบ</t>
  </si>
  <si>
    <t>.7.3.1 เทคโนโลยีด้านคอมพิวเตอร์</t>
  </si>
  <si>
    <t>.7.4.6.1 การคัดลอกไฟล์ที่มีชื่อเดียวกันอยู่ในไดรฟ์หรือโฟลเดอร์ปลายทาง</t>
  </si>
  <si>
    <t>.7.4.2 ความหมายของโฟลเดอร์</t>
  </si>
  <si>
    <t>.4.6.1.4 การปรับ Themes ของ Mouse cursor</t>
  </si>
  <si>
    <t>.2.4 ความสำคัญของการให้บริการคลาวด์ในอินเทอร์เน็ต</t>
  </si>
  <si>
    <t>.6.1.1 ขั้นตอนการใช้งานแอปพลิเคชั่น Gmail บนอุปกรณ์เคลื่อนที่ระบบปฏิบัติการ android</t>
  </si>
  <si>
    <t>.3.2.2.2 โปรแกรมอรรถประโยชน์</t>
  </si>
  <si>
    <t>.5.1.1 เครื่องพิมพ์ดอตเมตริกซ์</t>
  </si>
  <si>
    <t xml:space="preserve"> 4.3.1 ปรับแต่งขนาดตัวอักษร</t>
  </si>
  <si>
    <t>.3.1.5 อุปกรณ์บันทึกข้อมูล</t>
  </si>
  <si>
    <t>.1.3.1.3 ระบบปฏิบัติการบนเครื่องแท็บเล็ตและสมาร์ทโฟน</t>
  </si>
  <si>
    <t>.4.1ไมโครโฟนแบบไดนามิก</t>
  </si>
  <si>
    <t>.3.3.2.1 ขั้นตอนการค้นหาข้อมูลด้วย AI ด้วย ChatGPT</t>
  </si>
  <si>
    <t>.2.7.2 ความหมายของ Infrastructure as a Service (IaaS)</t>
  </si>
  <si>
    <t>.2.3.2.4 หน่วยความจำสำหรับวินโดวส์ 11</t>
  </si>
  <si>
    <t>.5.3 ขั้นตอนการเข้าใช้ไปรษณีย์อิเล็กทรอนิกส์ Gmail</t>
  </si>
  <si>
    <t>Date Modified คือ</t>
  </si>
  <si>
    <t>การจัดเรียงไฟล์ตาม "Date Modified" หมายถึงการจัดเรียงไฟล์ตามวันที่และเวลาที่มีการแก้ไขล่าสุดค่ะ
หากนักเรียนต้องการจัดเรียงไฟล์ตามวันที่แก้ไขในระบบ Windows สามารถทำได้ดังนี้ค่ะ:
เปิด File Explorer ไปยังโฟลเดอร์ที่มีไฟล์ที่ต้องการจัดเรียง
คลิกขวา บนพื้นที่ว่างภายในโฟลเดอร์
เลือก Sort by (เรียงลำดับโดย)
คลิกเลือก Date modified (วันที่แก้ไข)
ไฟล์จะถูกจัดเรียงจากไฟล์ที่ถูกแก้ไขล่าสุดไปหาไฟล์ที่ถูกแก้ไขเก่าที่สุดค่ะ</t>
  </si>
  <si>
    <t>ลิขสิทธิ์ Windows แบบ OEM ย้ายเครื่องได้ไหม</t>
  </si>
  <si>
    <t>ลิขสิทธิ์ Windows แบบ OEM (Original Equipment Manufacturer) ไม่สามารถ ย้ายเครื่องได้ค่ะ
ลิขสิทธิ์ประเภทนี้จะถูกผูกติดกับเมนบอร์ดของคอมพิวเตอร์เครื่องแรกที่ติดตั้งมาเท่านั้น หากมีการเปลี่ยนเมนบอร์ดหรือนำไปติดตั้งบนคอมพิวเตอร์เครื่องอื่น จะถือว่าลิขสิทธิ์นั้นสิ้นสุดลงและไม่สามารถใช้งานได้อีกค่ะ</t>
  </si>
  <si>
    <t>ไมโครคอมพิวเตอร์เป็นตั้งโต๊ะหรือพกพา</t>
  </si>
  <si>
    <t>ไมโครคอมพิวเตอร์สามารถเป็นได้ทั้งคอมพิวเตอร์ตั้งโต๊ะ (Desktop) และคอมพิวเตอร์แบบพกพา (Laptop) ค่ะ
โดยทั่วไปแล้ว ไมโครคอมพิวเตอร์หมายถึงคอมพิวเตอร์ส่วนบุคคลที่มีขนาดเล็กและราคาไม่สูงเมื่อเทียบกับคอมพิวเตอร์ประเภทอื่น ๆ ซึ่งรวมถึงคอมพิวเตอร์ตั้งโต๊ะที่เราใช้งานกันทั่วไป และคอมพิวเตอร์แบบพกพา (โน้ตบุ๊ก) ที่สะดวกต่อการเคลื่อนย้ายค่ะ</t>
  </si>
  <si>
    <t>การตั้งโดเมนเนม 2 ระดับจำเป็นมากไหม</t>
  </si>
  <si>
    <t>การตั้งโดเมนเนม 2 ระดับนั้น มีความสำคัญในการระบุตัวตนและสร้างความน่าเชื่อถือให้กับเว็บไซต์ค่ะ
การระบุตัวตน: โดเมนเนม 2 ระดับ เช่น example.com ช่วยให้ผู้ใช้จดจำและเข้าถึงเว็บไซต์ของคุณได้ง่ายขึ้น โดยไม่ต้องจำ IP Address ที่ซับซ้อน
ความเป็นมืออาชีพ: การมีโดเมนเนมที่เป็นชื่อเฉพาะของตนเอง ช่วยเสริมสร้างภาพลักษณ์ความเป็นมืออาชีพให้กับธุรกิจหรือองค์กร
การตลาด: โดเมนเนมที่ดีสามารถช่วยในการทำการตลาดและสร้างแบรนด์ได้
อย่างไรก็ตาม ความจำเป็นในการตั้งโดเมนเนม 2 ระดับนั้น ขึ้นอยู่กับวัตถุประสงค์และการใช้งานของเว็บไซต์ค่ะ หากเป็นเว็บไซต์ส่วนบุคคลที่ไม่ต้องการความเป็นทางการมากนัก อาจไม่จำเป็นต้องมีโดเมนเนมเฉพาะก็ได้ค่ะ</t>
  </si>
  <si>
    <t>ตารางแสดงการคำนวณ</t>
  </si>
  <si>
    <t>ตารางแสดงการคำนวณเป็นร้อยละ</t>
  </si>
  <si>
    <t>ตารางแยกประเภทข้อคำถาม</t>
  </si>
  <si>
    <t>ชุดที่</t>
  </si>
  <si>
    <t>รวม (ข้อ)</t>
  </si>
  <si>
    <t>สัดส่วนประเภท 0 : 1</t>
  </si>
  <si>
    <t>รวม</t>
  </si>
  <si>
    <t>92 : 94</t>
  </si>
  <si>
    <t>ประเภทคำถาม</t>
  </si>
  <si>
    <t>จำนวนข้อ</t>
  </si>
  <si>
    <t>ประเภท 0 (Keyword ตรง)</t>
  </si>
  <si>
    <t>ประเภท 1 (Keyword คลุมเครือ)</t>
  </si>
  <si>
    <t>Confusion Matrix</t>
  </si>
  <si>
    <t>Accuracy</t>
  </si>
  <si>
    <t>Precision</t>
  </si>
  <si>
    <t>Recall</t>
  </si>
  <si>
    <t>F1-Score</t>
  </si>
  <si>
    <t>1. หลักการทำงานของคอมพิวเตอร์</t>
  </si>
  <si>
    <t>Context</t>
  </si>
  <si>
    <t>คอมพิวเตอร์ทำงานตามวงจร Input  Process  Output  Storage โดยมี CPU เป็นหน่วยประมวลผลกลาง</t>
  </si>
  <si>
    <r>
      <rPr>
        <b/>
        <sz val="20"/>
        <color rgb="FF000000"/>
        <rFont val="Arial"/>
        <family val="2"/>
        <scheme val="minor"/>
      </rPr>
      <t>ความรู้เกี่ยวกับคอมพิวเตอร์และสารสนเทศ</t>
    </r>
    <r>
      <rPr>
        <b/>
        <sz val="10"/>
        <color rgb="FF000000"/>
        <rFont val="Arial"/>
        <family val="2"/>
        <scheme val="minor"/>
      </rPr>
      <t xml:space="preserve">
หลักการทำงานของคอมพิวเตอร์</t>
    </r>
    <r>
      <rPr>
        <sz val="10"/>
        <color rgb="FF000000"/>
        <rFont val="Arial"/>
        <family val="2"/>
        <scheme val="minor"/>
      </rPr>
      <t xml:space="preserve">
คอมพิวเตอร์คืออุปกรณ์อิเล็กทรอนิกส์ที่สามารถรับข้อมูล ประมวลผล และแสดงผลลัพธ์ตามโปรแกรมที่กำหนดได้ โดยมีหน่วยองค์ประกอบของระบบคอมพิวเตอร์ประกอบด้วย หน่วยรับข้อมูล หน่วยประมวลผล หน่วยความจำ และหน่วยแสดงผล ซึ่งหลักการทำงานของคอมพิวเตอร์จะทำงานตามวงจร Input Process Output Storage โดยมี CPU เป็นหน่วยประมวลผลกลาง
สำหรับการแบ่งประเภทของคอมพิวเตอร์นั้น หากแบ่งตามลักษณะการใช้งาน คอมพิวเตอร์สามารถแบ่งตามลักษณะการใช้งานได้ เช่น ส่วนบุคคล, ธุรกิจ, วิทยาศาสตร์, และงานเฉพาะทาง โดยแยกเป็นคอมพิวเตอร์ใช้งานทั่วไป คือเครื่องที่ใช้ในชีวิตประจำวัน เช่น คอมพิวเตอร์ตั้งโต๊ะ โน้ตบุ๊ก สำหรับงานเอกสาร เล่นอินเทอร์เน็ต และความบันเทิง ส่วนคอมพิวเตอร์ใช้งานเฉพาะด้าน ถูกออกแบบมาเพื่อทำงานเฉพาะ เช่น เครื่องควบคุมการบิน เครื่องมือแพทย์ หรือระบบอุตสาหกรรม
นอกจากนี้ หากแบ่งตามความสามารถในการเก็บข้อมูลและความเร็วในการประมวลผล สามารถแบ่งออกเป็น 4 ประเภทหลัก ได้แก่  ซุปเปอร์คอมพิวเตอร์, เมนเฟรมคอมพิวเตอร์, มินิคอมพิวเตอร์, และ ไมโครคอมพิวเตอร์ โดยซุปเปอร์คอมพิวเตอร์คือคอมพิวเตอร์ที่มีความเร็วสูงมาก ใช้สำหรับงานวิจัยทางวิทยาศาสตร์ การคำนวณเชิงซับซ้อน และการจำลองสถานการณ์ เป็นต้น ส่วนเมนเฟรมคอมพิวเตอร์คือเครื่องขนาดใหญ่ที่รองรับการทำงานพร้อมกันของผู้ใช้จำนวนมาก เหมาะกับองค์กรหรือธนาคาร ถัดมาคือมินิคอมพิวเตอร์ มีขนาดเล็กกว่าเมนเฟรม แต่สามารถรองรับงานหลายผู้ใช้ ใช้ในองค์กรขนาดกลาง และสุดท้ายคือไมโครคอมพิวเตอร์ คือคอมพิวเตอร์ส่วนบุคคล เช่น PC และ Laptop ที่ใช้ทั่วไป</t>
    </r>
  </si>
  <si>
    <t>องค์ประกอบและการใช้งานระบบคอมพิวเตอร์และเทคโนโลยีสารสนเทศ
โครงสร้างพื้นฐานของระบบคอมพิวเตอร์เริ่มต้นที่ "ฮาร์ดแวร์" ซึ่งหมายถึงส่วนประกอบที่เป็นอุปกรณ์จับต้องได้ของคอมพิวเตอร์ โดยแบ่งออกเป็นส่วนต่างๆ ได้แก่ อุปกรณ์ภายในตัวเครื่องที่ประกอบด้วย CPU, RAM, Mainboard, Hard Disk, และ Power Supply นอกจากนี้ยังมีอุปกรณ์อินพุตทำหน้าที่ป้อนข้อมูลเข้าสู่คอมพิวเตอร์ เช่น แป้นพิมพ์ เมาส์ สแกนเนอร์, อุปกรณ์เอาท์พุตสำหรับแสดงผลข้อมูล เช่น จอภาพ เครื่องพิมพ์, อุปกรณ์บันทึกข้อมูลเพื่อเก็บข้อมูล เช่น ฮาร์ดดิสก์ แฟลชไดรฟ์ ซีดี และอุปกรณ์เสริมการใช้งาน อาทิ การ์ดจอ หูฟัง ลำโพง เว็บแคม ทั้งนี้เพื่อให้คอมพิวเตอร์ทำงานได้ จำเป็นต้องมี "ซอฟต์แวร์" หรือชุดคำสั่งที่ทำให้คอมพิวเตอร์สามารถทำงานตามที่ผู้ใช้ต้องการ โดยแบ่งเป็นซอฟต์แวร์ระบบที่ช่วยควบคุมและจัดการฮาร์ดแวร์ เช่น ระบบปฏิบัติการ (OS) ซึ่งเป็นตัวกลางระหว่างผู้ใช้กับเครื่อง และโปรแกรมอรรถประโยชน์ที่ช่วยบำรุงรักษาระบบ เช่น สแกนไวรัส ซอฟต์แวร์ประยุกต์ (Application Software) ซึ่งหมายถึง โปรแกรมหรือชุดคำสั่งที่ถูกเขียนขึ้นมาเพื่อสั่งการให้คอมพิวเตอร์ทำงานเฉพาะทางตามความต้องการของผู้ใช้ (End-user) โดยตรง โดยซอฟต์แวร์ประยุกต์นี้จะมีหน้าที่ทำงานอยู่บนระบบปฏิบัติการ (OS) อีกทีหนึ่ง เพื่ออำนวยความสะดวกให้มนุษย์สามารถผลิตผลงานที่ซับซ้อนได้โดยง่าย
หากพิจารณาถึงลักษณะการใช้งาน เราสามารถแบ่งซอฟต์แวร์ประยุกต์ออกเป็น 2 ประเภทหลัก ประเภทแรกคือ ซอฟต์แวร์สำหรับงานทั่วไป (General Purpose Software) ซึ่งเปรียบเสมือนเครื่องมือพื้นฐานที่ใครก็สามารถนำมาใช้งานได้ ไม่ว่าจะเป็นงานเอกสารผ่าน Microsoft Word หรือ Google Docs, งานคำนวณและตารางข้อมูลใน Microsoft Excel หรือ Google Sheets, งานนำเสนอที่สวยงามด้วย PowerPoint หรือ Canva รวมถึงงานด้านการสื่อสารอย่าง LINE และ Zoom ที่ช่วยให้การทำงานร่วมกันเป็นไปได้อย่างรวดเร็ว ในขณะที่ประเภทที่สองคือ ซอฟต์แวร์สำหรับงานเฉพาะด้าน (Special Purpose Software) ซึ่งถูกพัฒนาขึ้นเพื่อรองรับภารกิจเฉพาะขององค์กรใดองค์กรหนึ่ง เช่น ระบบบัญชี (Accounting) หรือระบบบริหารจัดการคลังสินค้า เพื่อให้การดำเนินงานในสายอาชีพมีความแม่นยำและเป็นระบบมากขึ้น
นอกจากเรื่องของฟังก์ชันการใช้งานแล้ว สิ่งสำคัญที่นักเรียนต้องคำนึงถึงคือ สิทธิ์การใช้งาน (Licensing) ซึ่งส่งผลต่อต้นทุนและจรรยาบรรณในการทำงาน ซอฟต์แวร์ในปัจจุบันมีตั้งแต่แบบ Proprietary Software หรือซอฟต์แวร์มีลิขสิทธิ์ที่ต้องเสียเงินซื้อสิทธิ์ใช้งานอย่างกลุ่ม Microsoft 365, แบบ Open Source ที่แจกฟรีและเปิดให้แก้ไขรหัสต้นฉบับได้อย่าง LibreOffice, ไปจนถึง Freeware ที่ให้ใช้งานได้ฟรี และ Shareware ที่เปิดให้ทดลองใช้ก่อนตัดสินใจซื้อ ซึ่งความหลากหลายนี้ช่วยให้เราเลือกใช้เครื่องมือได้อย่างเหมาะสมกับงบประมาณและเงื่อนไขของงาน
ในมิติของการเข้าถึงข้อมูล ซอฟต์แวร์ยุคใหม่ไม่ได้จำกัดอยู่แค่การติดตั้งลงในเครื่องคอมพิวเตอร์แบบ On-Premises เพียงอย่างเดียว แต่ได้ก้าวเข้าสู่รูปแบบ Cloud-based หรือ SaaS (Software as a Service) ที่ช่วยให้เราเข้าถึงโปรแกรมผ่านเว็บเบราว์เซอร์ได้ทันทีโดยไม่ต้องติดตั้ง รวมถึงความสะดวกสบายของ Mobile App บนสมาร์ทโฟนที่ทำให้การทำงานไม่ถูกจำกัดอยู่แค่เพียงในออฟฟิศหรือห้องเรียนอีกต่อไป
ปัจจัยสำคัญถัดมาคือ "พีเพิลแวร์" ซึ่งหมายถึงบุคคลที่เกี่ยวข้องกับการใช้และพัฒนาระบบ ประกอบด้วย นักวิเคราะห์ระบบผู้ออกแบบและวิเคราะห์ความต้องการ, โปรแกรมเมอร์ผู้เขียนชุดคำสั่ง, ผู้ดูแลระบบที่คอยจัดการแก้ไขปัญหาเครือข่าย, ช่างเทคนิคคอมพิวเตอร์ผู้ซ่อมบำรุงฮาร์ดแวร์ และผู้ใช้งานทั่วไปที่ใช้คอมพิวเตอร์เพื่อการทำงานหรือความบันเทิง เมื่อมีการใช้งานแล้ว สิ่งที่ขาดไม่ได้คือความรู้พื้นฐานในการใช้งานและการบำรุงรักษา เริ่มตั้งแต่การติดตั้งเครื่องคอมพิวเตอร์ที่ต้องวางอุปกรณ์ในตำแหน่งเหมาะสม ต่อสายต่างๆ และตรวจสอบการทำงาน ไปจนถึงการบำรุงรักษาโดยการทำความสะอาดและอัปเดตซอฟต์แวร์เพื่อยืดอายุการใช้งานและเพิ่มความปลอดภัย
ในการใช้งานคอมพิวเตอร์ยังต้องคำนึงถึงความปลอดภัยต่อสุขภาพ ทั้งเรื่องแสงสว่างที่พอเหมาะ ความสว่างของจอมอนิเตอร์ที่ไม่มืดหรือจ้าเกินไป และท่านั่งทำงานที่ควรนั่งหลังตรง ปรับระดับสายตาและวางแขนให้สบาย รวมถึงการใช้การใช้หมอนรองด้านหลังเพื่อลดอาการเมื่อยหรือบาดเจ็บจากกระดูกสันหลัง  นอกจากตัวเครื่องหลักแล้ว ยังมี "อุปกรณ์ต่อพ่วง" ต่างๆ เช่น เครื่องพิมพ์
เครื่องพิมพ์ (Printer)
เครื่องพิมพ์ หรือเรียกทับศัพท์ว่า Printer คือ อุปกรณ์ต่อพ่วงที่นิยมใช้กับคอมพิวเตอร์มากที่สุด ใช้ในงานพิมพ์เอกสารออกบนกระดาษ โดยมีให้เลือกใช้หลายประเภท ได้แก่
เครื่องพิมพ์ดอตเมตริกซ์ (Dot Matrix Printer) เครื่องพิมพ์แบบดอตเมตริกซ์ เป็นเครื่องพิมพ์แบบใช้หัวเข็มกระแทก (Impact Printer) ส่วนใหญ่จะใช้กับการพิมพ์เอกสารที่ต้องการสำเนา เช่น ใบเสร็จรับเงิน มักพบเห็นในงานธนาคาร สำนักงานสหกรณ์ หรือสำนักงานบัญชีเป็นส่วนใหญ่ โดยทั่วไปจะมีขนาดใหญ่และราคาสูง
เครื่องพิมพ์เลเซอร์ (Laser Printer) เครื่องพิมพ์แบบเลเซอร์ เป็นเครื่องพิมพ์ที่ใช้หลักการทำงานเช่นเดียวกับเครื่องถ่ายเอกสาร โดยจะให้ความละเอียดในการพิมพ์สูงกว่าเครื่องพิมพ์แบบดอตเมตริกซ์ ทำงานได้รวดเร็วกว่า ไม่มีเสียงในขณะทำงาน ปัจจุบันจึงได้รับความนิยมในการใช้งานค่อนข้างมาก โดยมีให้เลือกทั้งแบบขาวดำ และเครื่องพิมพ์เลเซอร์สี
เครื่องพิมพ์อิงก์เจ็ต (Inkjet Printer) เครื่องพิมพ์อิงก์เจ็ต เป็นเครื่องพิมพ์ที่ทำงานโดยการพ่นหมึกผ่านหัวพิมพ์ออกเป็นหยดขนาดเล็กลงบนกระดาษ เครื่องพิมพ์ประเภทนี้จะมีราคาถูกสามารถพิมพ์สีได้ดี แต่ตลับหมึกจะมีราคาค่อนข้างแพง เหมาะสำหรับการพิมพ์ภาพ หรือตัวอักษรที่เป็นสี
เครื่องสแกนภาพ (Scanner)
เครื่องสแกนภาพเป็นอุปกรณ์ที่ใช้แปลงภาพถ่ายที่เป็นกระดาษมาสร้างเป็นไฟล์ข้อมูลในคอมพิวเตอร์ โดยตัวเครื่องจะประกอบด้วยตัวสร้างแหล่งกำเนิดแสง (Light Source) ตัวรับแสง (Light Sensor) และสายพานโดยการทำงานจะเริ่มโดยการนำเอกสารหรือภาพวางบนกระจก จากนั้นสายพานซึ่งมีแหล่งกำเนิดแสงและตัวรับแสงจะเลื่อนผ่านเอกสาร โดยแสงที่ตกกระทบกับตัวรับแสงจะสร้างข้อมูลดิจิทัลและแปลงเป็นไฟล์ข้อมูลตามต้องการ ปัจจุบันอาจผลิตรวมกับเครื่องพิมพ์แบบเลเซอร์และอิงก์เจ็ต เรียกว่า เครื่องพิมพ์แบบออลอินวัน (All in One Printer)
เครื่องอ่านบาร์โค้ด (Barcode Reader)
เครื่องอ่านรหัสบาร์โค้ด เป็นอุปกรณ์หนึ่งที่นิยมนำมาใช้งานทั่วไป โดยเฉพาะกับร้านค้า หรือในห้างสรรพสินค้า เพราะสามารถนำมาใช้ในการตรวจสอบนับและตรวจสอบสินค้า รวมทั้งอำนวยความสะดวกในการคิดราคาสินค้าได้มากกว่าการพิมพ์ด้วยแป้นพิมพ์ โดยบาร์โค้ดจะมีทั้งแบบแท่ง 1 มิติ ซึ่งจะมีลักษณะเป็นแถบยาว และแบบ 2 มิติที่นิยมเรียกว่า QR Code
ไมโครโฟน (Microphone)
ไมโครโฟนเป็นอุปกรณ์ต่อพ่วงคอมพิวเตอร์อีกประเภทหนึ่งที่ใช้รับเสียงแล้วนำข้อมูลเสียงที่ได้บันทึกเป็นไฟล์เสียงไว้ในคอมพิวเตอร์ โดยอาจแบ่งได้เป็น 2 ประเภทคือ
ไมโครโฟนแบบไดนามิก (Dynamic Microphone) สามารถรับเสียงในย่านความถี่กว้าง ทั้งความถี่สูงและความถี่ต่ำ แต่มีข้อเสียคือสัญญาณเสียงที่ได้จะมีระดับต่ำ ส่วนใหญ่จึงไม่นิยมใช้กับคอมพิวเตอร์โดยตรง จำเป็นต้องผ่านวงจรขยายเสียก่อน
ไมโครโฟนแบบคอนเด็นเซอร์ (Condenser Microphone) โดยทั่วไปจะมีความไวและตอบสนองความถี่สูงได้ดี แต่อาจด้อยในด้านความถี่ต่ำ และมักต้องจ่ายไฟเลี้ยงให้กับไมโครโฟน จัดเป็นไมโครโฟนที่นิยมใช้กับคอมพิวเตอร์มากที่สุด สำหรับไมค์คอนเด็นเซอร์ที่ใช้กับเครื่องคอมพิวเตอร์แบบตั้งโต๊ะ (Desktop Computer) ส่วนใหญ่จะใช้หัวต่อสายขนาด 3.5 มม. แบบ TRS ส่วนที่ใช้กับเครื่องโน้ตบุ๊กหรือสมาร์ทโฟน (Smartphone) จะใช้สายร่วมกับหูฟัง มักใช้หัวต่อแบบ TRRS ดังนั้นการซื้อใช้งานจึงควรพิจารณาโดยละเอียด นอกจากนี้ยังมีไมค์แบบหัวต่อ USB ให้เลือกใช้ตามความต้องการ
หลักการทำงานของกล้องดิจิทัลและเว็บแคม
หัวใจสำคัญของการทำงานของกล้องทั้งสองชนิดคือการเปลี่ยน "คลื่นแสง" ให้กลายเป็น "สัญญาณดิจิทัล" โดยเริ่มจากแสงจากวัตถุเดินทางผ่านเลนส์เพื่อหักเหไปตกกระทบบนเซ็นเซอร์รับภาพ (Image Sensor) ซึ่งทำหน้าที่รับปริมาณแสงและเปลี่ยนให้เป็นสัญญาณไฟฟ้า จากนั้นชิปประมวลผลจะรับสัญญาณไฟฟ้าเหล่านั้นมาคำนวณและแปลงค่าเป็นข้อมูลภาพดิจิทัลในรูปแบบพิกเซล
แม้จะมีพื้นฐานคล้ายกัน แต่ทั้งสองกลับมีจุดประสงค์การใช้งานที่แตกต่างกันอย่างชัดเจน โดย กล้องดิจิทัล จะเน้นการสร้างภาพที่มีความละเอียดสูงและคุณภาพไฟล์ที่ประณีต มีระบบควบคุมแสงที่ซับซ้อน ทั้งรูรับแสงและชัตเตอร์ รวมถึงมีหน่วยความจำในตัวเพื่อบันทึกไฟล์ภาพลงในอุปกรณ์เก็บข้อมูล เช่น SD Card ทำให้สามารถนำไปใช้งานต่อได้อย่างเป็นอิสระ
ในขณะที่ กล้องเว็บแคม ถูกออกแบบมาเพื่อการสื่อสารแบบเรียลไทม์เป็นหลัก จึงไม่มีหน่วยความจำในตัว แต่จะทำหน้าที่เป็นอุปกรณ์รับภาพเพื่อส่งต่อข้อมูลผ่านสาย USB เข้าสู่คอมพิวเตอร์โดยตรง เพื่อให้ซอฟต์แวร์นำข้อมูลภาพนั้นไปถ่ายทอดสดหรือบันทึกลงในเครื่องคอมพิวเตอร์แทน ด้วยเหตุนี้เว็บแคมจึงเน้นความสะดวกในการใช้งานและการปรับค่าแสงโดยอัตโนมัติเพื่อให้ภาพมีความต่อเนื่องและส่งผ่านอินเทอร์เน็ตได้อย่างรวดเร็ว
ในยุคปัจจุบัน "อุปกรณ์เคลื่อนที่" เข้ามามีบทบาทสำคัญ โดยมีระบบปฏิบัติการหลักคือ iOS ของ Apple ที่เน้นความปลอดภัย และ Android ของ Google ที่มีความยืดหยุ่นสูง ซึ่งทั้งสองระบบมีแหล่งดาวน์โหลดแอปพลิเคชันที่แตกต่างกันคือ App Store และ Google Play Store 
พื้นฐานของเทคโนโลยีเหล่านี้คือเรื่องของ ข้อมูล (Data)
คือ ข้อเท็จจริงที่เก็บรวบรวมเพื่อนำเข้ามาประมวลผล โดยการนำเข้าอาจทำโดยการป้อนข้อมูลผ่านแป้นพิมพ์เข้าไปโดยตรง หรือผ่านอุปกรณ์รับข้อมูลต่าง ๆ โดยข้อมูลที่สามารถจัดเก็บในระบบคอมพิวเตอร์มี 5 ประเภท ได้แก่
ข้อมูลตัวเลข (Numeric Data)
ข้อมูลอักษร (Text Data)
ข้อมูลเสียง (Audio Data)
ข้อมูลภาพ (Images Data)
ข้อมูลภาพเคลื่อนไหว (Video Data)
สารสนเทศ (Information)
หมายถึง ข้อมูลที่ได้จากการนำข้อมูล (Data) มาผ่านการประมวลผลเพื่อให้ได้ผลลัพธ์ที่เป็นประโยชน์ตามความต้องการ ไม่ว่าจะเป็น การสรุปผล การกรองข้อมูล การเรียงลำดับ การตีความ หรือการแบ่งหมวดหมู่ ที่เมื่อผ่านกระบวนการสารสนเทศ ซึ่งเริ่มจากการเก็บข้อมูล ประมวลผล จัดเก็บ และนำเสนอ จะกลายเป็นสารสนเทศที่มีประโยชน์ ซึ่งทั้งหมดนี้รวมกันเป็นองค์ประกอบของเทคโนโลยีสารสนเทศที่ประกอบด้วย ฮาร์ดแวร์, ซอฟต์แวร์, ข้อมูล, บุคลากร, และกระบวนการ โดยอาศัยเทคโนโลยีด้านคอมพิวเตอร์ในการประมวลผล และเทคโนโลยีด้านการสื่อสารและโทรคมนาคมในการส่งข้อมูลผ่านเครือข่าย</t>
  </si>
  <si>
    <t>ระบบปฏิบัติการทำหน้าที่เป็นส่วนเชื่อมต่อระหว่างผู้ใช้กับเครื่องคอมพิวเตอร์ ทำให้ใช้งานได้ง่าย</t>
  </si>
  <si>
    <r>
      <rPr>
        <b/>
        <sz val="20"/>
        <color rgb="FF000000"/>
        <rFont val="Arial"/>
        <family val="2"/>
        <scheme val="minor"/>
      </rPr>
      <t>ระบบปฏิบัติการ</t>
    </r>
    <r>
      <rPr>
        <sz val="10"/>
        <color rgb="FF000000"/>
        <rFont val="Arial"/>
        <family val="2"/>
        <scheme val="minor"/>
      </rPr>
      <t xml:space="preserve">
</t>
    </r>
    <r>
      <rPr>
        <b/>
        <sz val="10"/>
        <color rgb="FF000000"/>
        <rFont val="Arial"/>
        <family val="2"/>
        <scheme val="minor"/>
      </rPr>
      <t>ความสำคัญและประเภทของระบบปฏิบัติกา</t>
    </r>
    <r>
      <rPr>
        <sz val="10"/>
        <color rgb="FF000000"/>
        <rFont val="Arial"/>
        <family val="2"/>
        <scheme val="minor"/>
      </rPr>
      <t>ร
ระบบปฏิบัติการมีความสำคัญในฐานะส่วนเชื่อมต่อผู้ใช้งาน โดยทำหน้าที่เป็นส่วนเชื่อมต่อระหว่างผู้ใช้กับเครื่องคอมพิวเตอร์ ทำให้ใช้งานได้ง่าย และมีความสำคัญต่อการติดตั้งซอฟต์แวร์ประยุกต์ เพราะระบบปฏิบัติการเป็นตัวจัดการและรองรับการทำงานของซอฟต์แวร์ประยุกต์ รวมถึงความสำคัญต่อการจัดการไฟล์และโฟลเดอร์ ซึ่งช่วยสร้าง ลบ ย้าย และจัดการไฟล์หรือโฟลเดอร์ได้สะดวก นอกจากนี้ยังมีความสำคัญต่อการจัดสรรทรัพยากรในระบบ โดยจัดสรรหน่วยความจำ ซีพียู และอุปกรณ์ต่าง ๆ ให้โปรแกรมใช้งานอย่างเหมาะสม
สำหรับการแบ่งประเภทของระบบปฏิบัติการ หากแบ่งตามลักษณะการใช้งาน สามารถจำแนกได้เป็นระบบปฏิบัติการบนเครื่องคอมพิวเตอร์ส่วนบุคคล เช่น Windows, macOS, Linux ระบบปฏิบัติการบนเครื่องแม่ข่าย คือระบบที่ใช้จัดการเซิร์ฟเวอร์ เช่น Windows Server, Unix และระบบปฏิบัติการบนเครื่องแท็บเล็ตและสมาร์ทโฟน เช่น iOS และ Android หรือหากแบ่งตามการเสียค่าใช้จ่าย จะแบ่งได้เป็นระบบปฏิบัติการแบบโอเพนซอร์ซ คือระบบที่เปิดให้ผู้ใช้แก้ไขและพัฒนาได้ เช่น Linux และระบบปฏิบัติการที่มีค่าลิขสิทธิ์ คือระบบที่ต้องซื้อสิทธิ์ใช้งาน เช่น Windows และ macOS
รุ่นการจัดจำหน่ายของ Windows (Windows Editions)
ระบบปฏิบัติการไมโครซอฟต์วินโดวส์แต่ละเวอร์ชันจะมีการจำแนกรุ่นจัดจำหน่ายที่แตกต่างกัน แต่ส่วนใหญ่อาจแบ่งได้ดังนี้
Windows Home เป็นรุ่นพื้นฐานที่เหมาะกับการใช้งานตามบ้านทั่วไป
Windows Pro เป็นรุ่นที่เหมาะกับการใช้งานในองค์กรหรือธุรกิจขนาดเล็ก โดยมีส่วนเพิ่มเติมในด้านความปลอดภัยและความสามารถในการใช้งานร่วมกัน
Windows Enterprise เป็นรุ่นที่ใช้งานสำหรับองค์กรขนาดกลางจนถึงขนาดใหญ่ โดยได้เพิ่มฟังก์ชันใช้งานเพิ่มเติม และการรักษาความปลอดภัยที่สูงขึ้น
Windows Education เป็นรุ่นที่จัดจำหน่ายในราคาพิเศษ เพื่อการใช้งานในสถานศึกษา โดยจัดจำหน่ายในลักษณะเป็นแบบ Volume นอกจากนี้ยังมีรุ่นพิเศษที่จำหน่ายมาพร้อมการซื้อเครื่อง เช่น Windows Single Language โดยจะเป็นรุ่นที่ไม่สามารถเปลี่ยนภาษาของเมนูใช้งานได้
ลิขสิทธิ์ของวินโดวส์ (Windows License)
ระบบปฏิบัติการไมโครซอฟต์วินโดวส์ (Microsoft Windows) เป็นซอฟต์แวร์ที่มีลิขสิทธิ์ ซึ่งต้องทำการสั่งซื้อเพื่อนำมาใช้งาน โดยมีราคาและข้อตกลงเงื่อนไขการใช้งานที่แตกต่างกัน สำหรับรูปแบบของใบอนุญาตสิทธิ์ในการใช้งาน (License) สามารถแบ่งออกเป็นประเภทหลักได้ดังนี้:
1) แบบ OEM (Original Equipment Manufacturer)
เป็นลิขสิทธิ์ของ Windows ที่ติดตั้งมาพร้อมกับคอมพิวเตอร์เครื่องใหม่จากโรงงานและสามารถใช้งานได้ทันที แต่มีข้อจำกัดคือ ใช้งานได้เฉพาะกับเครื่องที่ติดตั้งมาครั้งแรกเท่านั้น ไม่สามารถนำสิทธิ์ไปใช้กับคอมพิวเตอร์เครื่องอื่นได้ แม้ว่าจะเลิกใช้งานเครื่องเดิมแล้วก็ตาม (ลิขสิทธิ์ผูกติดกับเมนบอร์ด) โดยปกติจะไม่มีแผ่นติดตั้งแยกมาให้ แต่จะมีไฟล์สำหรับคืนค่าระบบให้กลับไปเป็นค่าเริ่มต้นจากโรงงาน (Factory Recovery)
2) แบบ FPP (Full Package Product)
เป็นลิขสิทธิ์แบบกล่องที่จำหน่ายทั่วไป ความแตกต่างที่สำคัญจากแบบ OEM คือ สามารถโอนย้ายสิทธิ์การใช้งานจากเครื่องเก่าไปยังเครื่องอื่นได้ โดยมีเงื่อนไขว่าต้องลบ Windows ออกจากเครื่องเดิมก่อนที่จะนำไปติดตั้งในเครื่องใหม่ ทั้งนี้ สิทธิ์ในการใช้งานยังคงจำกัดอยู่ที่ 1 สิทธิ์ต่อ 1 เครื่องเท่านั้น
3) แบบ VL (Volume Licensing)
เป็นการซื้อลิขสิทธิ์สำหรับการใช้งานคอมพิวเตอร์จำนวนมาก เหมาะสำหรับการใช้งานในรูปแบบองค์กร บริษัท หรือสถานศึกษา โดยสามารถนำไปติดตั้งและใช้งานได้หลายเครื่องตามจำนวนสิทธิ์ที่สั่งซื้อ ช่วยให้การบริหารจัดการลิขสิทธิ์ภายในองค์กรทำได้ง่ายและคุ้มค่ากว่าการซื้อแยกเป็นรายเครื่อง
ความต้องการทางฮาร์ดแวร์สำหรับวินโดวส์
ในการติดตั้งเพื่อใช้งานระบบปฏิบัติการวินโดวส์จะต้องพิจารณาข้อกำหนดของฮาร์ดแวร์ที่จะติดตั้ง เพื่อให้สามารถติดตั้งใช้งานได้
Windows 10 ควรใช้กับซีพียู 64 บิต ที่มีความถี่ 1 GHz ขึ้นไป มีหน่วยความจำไม่น้อยกว่า 2 GB และมีพื้นที่ว่างในฮาร์ดดิสก์ไม่ต่ำกว่า 32 GB
Windows 11 ควรใช้กับซีพียู 64 บิต ที่มีความถี่ 1 GHz ขึ้นไป และมีแถบประมวลผลไม่น้อยกว่า 2 แกน มีหน่วยความจำไม่น้อยกว่า 4 GB และพื้นที่ว่างในฮาร์ดดิสก์ไม่ต่ำกว่า 64 GB รวมทั้งเมนบอร์ดที่ใช้งานจะต้องมี TPM เวอร์ชัน 2.0 ขึ้นไป และใช้ไบออสแบบ UEFI ที่รองรับระบบ Secure Boot
ในปัจจุบันมีการผลิตโซลิดสเตตไดร์ฟ (Solid State Drive) หรือเรียกโดยย่อว่า SSD ซึ่งเป็นอุปกรณ์สารกึ่งตัวนำ สามารถอ่านและเขียนข้อมูลได้รวดเร็วกว่าฮาร์ดดิสก์ (Hard Disk) รุ่นเก่าที่เป็นแบบจานแม่เหล็ก จึงนิยมใช้ติดตั้งระบบปฏิบัติการบน SSD ซึ่งมีทั้งแบบเชื่อมต่อด้วยสายเช่นเดียวกับฮาร์ดดิสก์ และแบบเป็นแผงเสียบบนเมนบอร์ด (M.2) เพื่อเพิ่มความรวดเร็วในการทำงานและการเปิดเครื่องเพื่อใช้งาน</t>
    </r>
  </si>
  <si>
    <r>
      <rPr>
        <b/>
        <sz val="10"/>
        <color rgb="FF000000"/>
        <rFont val="Arial"/>
        <family val="2"/>
        <scheme val="minor"/>
      </rPr>
      <t>องค์ประกอบและการปรับแต่งหน้าจอหลักของระบบปฏิบัติการวินโดวส์</t>
    </r>
    <r>
      <rPr>
        <sz val="10"/>
        <color rgb="FF000000"/>
        <rFont val="Arial"/>
        <family val="2"/>
        <scheme val="minor"/>
      </rPr>
      <t xml:space="preserve">
หน้าจอหลักของระบบปฏิบัติการวินโดวส์มีส่วนประกอบสำคัญเริ่มจากเดสก์ท็อป ซึ่งคือพื้นที่หลักบนหน้าจอที่แสดงไอคอนและโปรแกรมต่าง ๆ โดยมีไอคอนหลักประกอบด้วยไอคอนผู้ใช้งานที่แสดงข้อมูลบัญชีผู้ใช้ที่เข้าสู่ระบบ ไอคอนคอมพิวเตอร์ที่ใช้เข้าถึงข้อมูลและไดรฟ์ต่าง ๆ ในเครื่อง และไอคอนถังขยะที่ใช้เก็บไฟล์ที่ถูกลบชั่วคราวซึ่งสามารถกู้คืนหรือลบถาวรได้ นอกจากนี้ยังมีปุ่มสตาร์ทที่ใช้เปิดเมนูหลักเพื่อเข้าถึงโปรแกรมและการตั้งค่าต่าง ๆ แถบโปรแกรมด่วนสำหรับเปิดโปรแกรมที่ใช้งานบ่อยได้อย่างรวดเร็ว และแถบงานที่แสดงโปรแกรมที่กำลังทำงานและช่วยสลับการใช้งานได้ง่าย รวมถึงแถบระบบที่แสดงสถานะต่าง ๆ เช่น เวลา เสียง และการเชื่อมต่อเครือข่าย โดยมีตัวชี้เมาส์เป็นสัญลักษณ์ที่ใช้บอกตำแหน่งการทำงานบนหน้าจอ
สำหรับการตรวจสอบรุ่นของระบบปฏิบัติการวินโดวส์ที่ใช้งาน สามารถตรวจสอบได้โดยคลิกขวาที่ไอคอน This PC บน Desktop แล้วเลือก Properties จะเห็นข้อมูลรุ่น Windows ที่ใช้งาน ซึ่งรายละเอียดที่แสดงจะประกอบด้วย รุ่นของ Windows, เวอร์ชัน, ประเภทระบบ (32-bit หรือ 64-bit) รวมถึง CPU และ RAM ที่ติด
ในด้านการปรับแต่งหน้าจอและการจัดการไอคอน สามารถทำได้หลายรูปแบบ เริ่มจากการใช้เมนู View เพื่อปรับการแสดงผลของไอคอนบนหน้าจอ เช่น การปรับขนาดไอคอนโดยเลือก Small, Medium หรือ Large icons หรือกำหนดการจัดเรียงไอคอนโดยเลือก Auto arrange หรือ Align to grid และสามารถกำหนดการแสดงผลไอคอนโดยเลือก Show desktop icons นอกจากนี้ยังสามารถใช้เมนู Sort by เพื่อจัดเรียงไฟล์หรือโฟลเดอร์ ซึ่งแบ่งเป็น Name คือการเรียงไฟล์ตามตัวอักษรชื่อไฟล์, Size คือการเรียงไฟล์ตามขนาดเล็กไปใหญ่หรือใหญ่ไปเล็ก, Item type คือการจัดเรียงไฟล์ตามชนิด เช่น เอกสาร รูปภาพ เพลง และ Date Modified คือการเรียงไฟล์ตามวันที่แก้ไขล่าสุด
นอกจากนี้ยังมีการปรับแต่งหน้าจอการแสดงผลด้วยเมนู Display setting ซึ่งใช้ปรับการแสดงผล เช่น การปรับแต่งขนาดตัวอักษรโดยเข้าเมนู Display setting แล้วเลือก Scale and layout, การปรับความละเอียดการแสดงผลบนจอภาพโดยเข้าเมนู Display resolution, และการปรับการวางแนวของจอภาพโดยเข้าเมนู Display orientation แล้วเลือก Landscape หรือ Portrait
การปรับเปลี่ยนรูปลักษณ์สามารถทำได้ผ่านเมนู Personalize เพื่อปรับแต่งหน้าจอ เช่น เปลี่ยนภาพพื้นหลัง สี ธีม และการตั้งค่าไอคอน โดยการเปลี่ยนภาพพื้นหลังด้วยเมนู Personalize ให้เข้าเมนู Background แล้วเลือกรูปแบบที่ต้องการ ได้แก่ Picture, Solid Color หรือ Slide Show ในส่วนของ Colors สามารถเข้าเมนู Colors เพื่อเลือกสีหลักของระบบและปรับโหมด Light หรือ Dark ได้ ส่วน Lock Screen นั้นให้เข้าเมนู Lock Screen เพื่อเลือกภาพพื้นหลังหรือกำหนดแอปที่แสดงสถานะบนหน้าจอล็อก
สำหรับการถนอมหน้าจอ สามารถใช้งานโปรแกรมถนอมจอภาพด้วยเมนู Lock screen ซึ่งช่วยป้องกันการเสื่อมสภาพของจอภาพเมื่อไม่ได้ใช้งานนานๆ โดยมีขั้นตอนคือ 1. คลิกขวาที่ Desktop เลือก Personalize 2. ไปที่ Lock screen 3. เลือก Screen saver settings 4. เลือกรูปแบบที่ต้องการและตั้งเวลา Wait แล้วกด OK
ผู้ใช้งานยังสามารถเลือกและปรับแต่งรูปแบบการใช้งานด้วยเมนู Themes ซึ่งใช้สำหรับเลือกและปรับแต่งรูปแบบหน้าตาการใช้งาน Windows โดยรวม เช่น ภาพพื้นหลัง สี เสียง และลักษณะของเมาส์ให้เป็นชุดเดียวกัน โดยการปรับ Themes ของ Background สามารถเลือกปรับได้ที่เมนู Background ภายในหน้า Themes โดยเลือกได้ทั้งแบบรูปภาพ (Picture), สีพื้น (Solid color) หรือสไลด์โชว์ (Slideshow) การปรับ Themes ของ Color เข้าไปที่เมนู Colors ในส่วนของ Themes เพื่อเลือกโทนสีสว่าง (Light) หรือมืด (Dark) และเลือกสีเน้น (Accent color) ตามที่คุณต้องการ การปรับ Themes ของ Sounds คือการปรับแต่งเสียงแจ้งเตือนของระบบในเหตุการณ์ต่างๆ เช่น เสียงเมื่อเปิดเครื่อง หรือเสียงเมื่อมีการแจ้งเตือนข้อความเข้า และการปรับ Themes ของ Mouse cursor ให้คลิกที่เมนู Mouse cursor ภายใต้ Themes เพื่อเปลี่ยนรูปทรง ขนาด และสีของตัวชี้เมาส์ให้เหมาะสมกับการใช้งาน อีกทั้งยังมีการกำหนด Desktop Icon Setting คือการกำหนดให้ไอคอนหลักอย่าง This PC, Recycle Bin หรือ Control Panel แสดงบนหน้าจอ โดยเข้าไปตั้งค่าได้ที่เมนู Desktop icon settings ในหน้า Themes   
สุดท้ายคือการปรับแต่งส่วน Start และ Taskbar โดยเข้าเมนู Personalize แล้วเลือก Start ซึ่งสามารถเลือกแสดงหรือซ่อนแอปที่ใช้บ่อย และปรับการแสดงผลของเมนู Start ได้ ส่วน Taskbar นั้นให้เข้าเมนู Personalize แล้วเลือก Taskbar เพื่อเลือกตำแหน่งของ Taskbar, การแสดงผลไอคอน และการจัดเรียงปุ่มต่าง ๆ</t>
    </r>
  </si>
  <si>
    <r>
      <rPr>
        <b/>
        <sz val="10"/>
        <color rgb="FF000000"/>
        <rFont val="Arial"/>
        <family val="2"/>
        <scheme val="minor"/>
      </rPr>
      <t>การปรับสภาพแวดล้อมและการจัดการข้อมูลในคอมพิวเตอร์</t>
    </r>
    <r>
      <rPr>
        <sz val="10"/>
        <color rgb="FF000000"/>
        <rFont val="Arial"/>
        <family val="2"/>
        <scheme val="minor"/>
      </rPr>
      <t xml:space="preserve">
การใช้งานคอมพิวเตอร์อย่างมีประสิทธิภาพเริ่มต้นที่การปรับสภาพแวดล้อมทั่วไปให้เหมาะสมกับการใช้งาน เริ่มจากการปรับวันที่และเวลา ซึ่งมีขั้นตอนคือไปที่ Settings เลือก Time &amp; Language และไปที่ Date &amp; Time จากนั้นคุณสามารถตั้งค่าให้เป็นอัตโนมัติ (Set time automatically) หรือปรับเองได้ ต่อมาคือการปรับความดังเสียง โดยมีขั้นตอนคือคลิกที่ไอคอนลำโพงบริเวณมุมขวาล่างของ Taskbar แล้วลากแถบสไลด์เพื่อปรับระดับความดังตามต้องการ นอกจากนี้ เพื่อความสะดวกรวดเร็วในการเข้าถึงงาน ผู้ใช้ควรทราบการสร้างชอร์ตคัต ซึ่งมีขั้นตอนคือคลิกขวาที่ไฟล์หรือโปรแกรมที่ต้องการ เลือก "Show more options" ไปที่ "Send to" และเลือก "Desktop (create shortcut)" รวมถึงการเปิดโปรแกรมเพื่อใช้งาน ที่มีขั้นตอนง่าย ๆ คือสามารถเปิดโปรแกรมได้โดยคลิกที่ปุ่ม Start แล้วพิมพ์ชื่อโปรแกรมที่ต้องการ หรือดับเบิลคลิกที่ไอคอนโปรแกรมบน Desktop
ส่วนสำคัญถัดมาคือการทำงานกับไดร์ฟ ไฟล์ และโฟลเดอร์ เริ่มจากการแสดงข้อมูลในโฟลเดอร์ Document ซึ่งโฟลเดอร์ Document คือพื้นที่จัดเก็บไฟล์เอกสารของผู้ใช้ในระบบปฏิบัติการ Windows เช่น Word, Excel, PDF และไฟล์งานอื่น ๆ โดยมีขั้นตอนการแสดงข้อมูลคือเปิด File Explorer ขึ้นมา แล้วเลือกเมนู "Documents" จากแถบเมนูด้านซ้ายเพื่อดูไฟล์เอกสาร นอกจากนี้ยังมีการแสดงข้อมูลในไดรฟ์ต่าง ๆ ซึ่งการแสดงข้อมูลในไดรฟ์คือการเข้าถึงและดูไฟล์หรือโฟลเดอร์ที่จัดเก็บอยู่ในไดรฟ์ต่าง ๆ เช่น C, D, E เพื่อให้ผู้ใช้สามารถจัดการไฟล์ได้สะดวก ขั้นตอนการแสดงข้อมูลในไดรฟ์ต่าง ๆ คือเปิด File Explorer แล้วเลือก "This PC" คุณจะเห็นรายการไดรฟ์ทั้งหมดที่มีอยู่ในเครื่องคอมพิวเตอร์ ทั้งนี้ ผู้ใช้สามารถเลือกการแสดงรายการไฟล์ในรูปแบบต่าง ๆ ได้หลายรูปแบบ เช่น แบบไอคอนใหญ่ (Large Icons), แบบไอคอนเล็ก (Small Icons), แบบรายการ (List), และแบบรายละเอียด (Details) โดยมีขั้นตอนคือใน File Explorer ให้คลิกเมนู "View" ด้านบน คุณสามารถเลือกแบบ Icons ใหญ่, รายการ (List) หรือรายละเอียด (Details)
พื้นฐานที่สำคัญที่สุดคือการจัดการไฟล์และโฟลเดอร์ เพราะช่วยให้ค้นหาข้อมูลได้รวดเร็ว ลดความซ้ำซ้อน และเพิ่มประสิทธิภาพในการทำงาน โดยต้องเข้าใจความหมายของไฟล์ก่อนว่า ไฟล์ คือ ข้อมูลหรือชุดคำสั่งที่เก็บอยู่ในเครื่องคอมพิวเตอร์ เช่น รูปภาพ เอกสาร หรือวิดีโอ ซึ่งจะมีนามสกุลไฟล์บอกประเภท ส่วนความหมายของโฟลเดอร์ คือ ที่สำหรับจัดเก็บไฟล์หรือโฟลเดอร์ย่อยอื่นๆ เพื่อความเป็นระเบียบ เปรียบเสมือนแฟ้มเก็บเอกสาร สำหรับขั้นตอนการสร้างโฟลเดอร์ ให้คลิกขวาที่พื้นที่ว่างใน File Explorer เลือก "New" จากนั้นเลือก "Folder" แล้วพิมพ์ชื่อที่ต้องการ หากต้องการแก้ไข สามารถทำตามขั้นตอนการเปลี่ยนชื่อไฟล์และโฟลเดอร์ โดยคลิกขวาที่ไฟล์นั้นๆ แล้วเลือกไอคอน Rename (หรือกดปุ่ม F2) จากนั้นพิมพ์ชื่อใหม่แล้วกด Enter
สำหรับการจัดการขั้นสูงขึ้น คือขั้นตอนการเลือกไฟล์และโฟลเดอร์ ซึ่งสามารถเลือกได้หลายวิธีครับ: 1. กด Ctrl+A เพื่อเลือกทั้งหมด 2. กด Shift ค้างเพื่อเลือกไฟล์ที่เรียงติดกัน โดยให้คลิกที่ไฟล์ลำดับที่ 1 จากนั้นกดปุ่ม Shift ค้างไว้ แล้วไปคลิกที่ไฟล์ลำดับที่ 10 ระบบจะคลุมดำเลือกไฟล์ทั้งหมดที่อยู่ระหว่างกลางให้ทันที หรือ 3. กด Ctrl ค้างไว้แล้วคลิกเลือกทีละไฟล์ที่ต้องการ โดยให้กดปุ่ม Ctrl บนคีย์บอร์ดค้างไว้ แล้วใช้เมาส์คลิกเลือกไฟล์หรือโฟลเดอร์ที่ต้องการทีละอัน เมื่อเลือกครบแล้วจึงปล่อยปุ่ม Ctrl
เมื่อเลือกไฟล์ได้แล้ว มักจะตามมาด้วยขั้นตอนการคัดลอกไฟล์หรือโฟลเดอร์ โดยคลิกขวาที่ไฟล์เลือก "Copy" จากนั้นไปยังที่ปลายทางแล้วคลิกขวาเลือก "Paste" ในกรณีการคัดลอกไฟล์ที่มีชื่อเดียวกันอยู่ในไดรฟ์หรือโฟลเดอร์ปลายทาง เมื่อชื่อซ้ำ ระบบจะมีหน้าต่างแจ้งเตือน แนะนำให้เลือก 'Replace' ถ้าต้องการไฟล์ล่าสุด หรือเลือก 'Let me decide' หากต้องการเก็บทั้งสองไฟล์ไว้เพื่อตรวจสอบภายหลัง หากต้องการย้ายตำแหน่ง ให้ใช้ขั้นตอนการย้ายไฟล์หรือโฟลเดอร์ โดยคลิกขวาที่ไฟล์เลือก "Cut" แล้วไปที่โฟลเดอร์ปลายทาง คลิกขวาเลือก "Paste" ไฟล์เดิมจะหายไปย้ายมาอยู่ที่ใหม่ แต่หากไม่ต้องการใช้งานแล้ว ก็สามารถทำตามขั้นตอนการลบไฟล์หรือโฟลเดอร์ โดยคลิกขวาที่ไฟล์แล้วเลือกไอคอนถังขยะ (Delete) ไฟล์จะไปอยู่ใน Recycle Bin ก่อนที่จะถูกลบถาวร สุดท้ายหากหาไฟล์ไม่พบ สามารถใช้ขั้นตอนการค้นหาไฟล์ โดยคลิกที่ช่อง Search ใน File Explorer (มุมขวาบน) แล้วพิมพ์ชื่อไฟล์ที่ต้องการค้นหา</t>
    </r>
  </si>
  <si>
    <t>อินเทอร์เน็ตคือเครือข่ายคอมพิวเตอร์ขนาดใหญ่ที่เชื่อมโยงกันทั่วโลกเพื่อแลกเปลี่ยนข้อมูลและสื่อสาร</t>
  </si>
  <si>
    <r>
      <rPr>
        <b/>
        <sz val="18"/>
        <color rgb="FF000000"/>
        <rFont val="Arial"/>
        <family val="2"/>
        <scheme val="minor"/>
      </rPr>
      <t xml:space="preserve">การใช้งานอินเทอร์เน็ต
</t>
    </r>
    <r>
      <rPr>
        <b/>
        <sz val="10"/>
        <color rgb="FF000000"/>
        <rFont val="Arial"/>
        <family val="2"/>
        <scheme val="minor"/>
      </rPr>
      <t xml:space="preserve">
ความรู้พื้นฐานและโครงสร้างของระบบอินเทอร์เน็ต
</t>
    </r>
    <r>
      <rPr>
        <sz val="10"/>
        <color rgb="FF000000"/>
        <rFont val="Arial"/>
        <family val="2"/>
        <scheme val="minor"/>
      </rPr>
      <t>อินเทอร์เน็ตคือเครือข่ายคอมพิวเตอร์ขนาดใหญ่ที่เชื่อมโยงกันทั่วโลกเพื่อแลกเปลี่ยนข้อมูลและสื่อสาร โดยมีความรู้ทั่วไปเกี่ยวกับอินเทอร์เน็ตที่สำคัญคือ การใช้งานในการค้นหาข้อมูล ส่งอีเมล ดูวิดีโอ ทำงานออนไลน์ ซื้อขายสินค้า และสื่อสารผ่านโซเชียลมีเดีย ซึ่งวิธีการในการติดต่อบนระบบอินเทอร์เน็ตนั้นทำได้ผ่านอีเมล โซเชียลมีเดีย เว็บไซต์ หรือโปรแกรมแชต ภายใต้การทำงานของโปรโตคอลที่เชื่อมต่ออยู่ในอินเทอร์เน็ต เช่น TCP/IP, HTTP, HTTPS, FTP, SMTP
เพื่อให้การใช้งานสะดวกขึ้น จึงมีความหมายของโดเมนเนมเข้าเกี่ยวข้อง โดยโดเมนเนมคือชื่อที่ใช้แทน IP Address เพื่อให้จำง่าย เช่น google.com ซึ่งแบ่งโครงสร้างออกเป็นรูปแบบต่างๆ ได้แก่ โดเมนเนม 2 ระดับ เช่น example.com ประกอบด้วยชื่อโดเมนและนามสกุลโดเมน และโดเมนเนม 3 ระดับ เช่น mail.example.com มีชื่อโดเมนย่อยเพิ่มเข้ามา รวมถึงโดเมนเนมที่ใช้กำหนดประเภทขององค์กร เช่น .edu สำหรับการศึกษา, .gov สำหรับรัฐบาล และโดเมนเนมที่เป็นชื่อประเทศ เช่น .th สำหรับประเทศไทย, .jp สำหรับญี่ปุ่น สำหรับขั้นตอนการจดทะเบียนเพื่อใช้งานโดเมนเนมนั้น เริ่มต้นจากการเลือกชื่อโดเมน จากนั้นทำการตรวจสอบความว่าง แล้วดำเนินการซื้อผ่านผู้ให้บริการ และขั้นตอนสุดท้ายคือกำหนด DNS
ในด้านลักษณะของการเชื่อมต่ออินเทอร์เน็ตมีหลายลักษณะ เช่น การเชื่อมต่อผ่านสายโทรศัพท์ (Dial-up), การเชื่อมต่อผ่านสายเคเบิลหรือไฟเบอร์ (Broadband), การเชื่อมต่อแบบไร้สาย (Wi-Fi), และการเชื่อมต่อผ่านเครือข่ายมือถือ (Mobile Network) โดยแบ่งกลุ่มผู้ใช้งานเป็นการเชื่อมต่อส่วนบุคคล คือการเชื่อมต่อผ่าน Wi-Fi หรือ Mobile Data สำหรับผู้ใช้ทั่วไป และการเชื่อมต่อแบบองค์กร คือการเชื่อมต่อที่มีความเร็วสูงและปลอดภัย ใช้ในบริษัทหรือมหาวิทยาลัย
ปัจจัยสำคัญในการใช้งานคือความเร็วในการเชื่อมต่ออินเทอร์เน็ต ซึ่งความเร็วอินเทอร์เน็ตคืออัตราการรับส่งข้อมูลระหว่างอุปกรณ์ของผู้ใช้กับเครือข่ายอินเทอร์เน็ต โดยวัดเป็น Mbps (Megabits per second) ประกอบด้วย ความเร็วดาวน์โหลด (Download) คือ ความเร็วในการนำข้อมูลจากอินเทอร์เน็ตส่งมาที่เครื่องของเรา
ความเร็วอัปโหลด (Upload) คือ ความเร็วในการนำข้อมูลจากเครื่องของเราส่งไปยังเครื่องบนอินเทอร์เน็ต
โดยทั่วไปการกำหนดความเร็วของอินเทอร์เน็ตของผู้ให้บริการจะแสดงเป็นตัวเลข 2 ส่วน เช่น ความเร็ว 600/400 Mbps หมายถึงจะมีความเร็วในการดาวน์โหลด 600 Mbps และมีความเร็วในการอัปโหลดเท่ากับ 400 Mbps (bps = bit per second)
โดยส่วนใหญ่อินเทอร์เน็ตตามบ้าน ซึ่งเป็นการเชื่อมต่อส่วนบุคคล จะไม่มีการรับประกันคุณภาพในด้านความเร็ว (QoS : Quality of Service) ซึ่งหมายถึงความเร็วอาจเปลี่ยนแปลงไปตามจำนวนบ้านที่ใช้และระยะทางที่ให้บริการ แต่กรณีการเชื่อมต่อแบบองค์กรส่วนใหญ่จะมีการซื้อบริการแบบรับประกันความเร็วหรือแบนด์วิดท์ (Bandwidth) เพื่อให้เกิดเสถียรภาพและความต่อเนื่องในการทำงาน
สำหรับการวัดความเร็วอาจต้องตระหนักถึงรูปแบบการใช้งานด้วย เช่น การใช้อินเทอร์เน็ตความเร็วสูง (1,000/1,000 Mbps) เมื่อใช้งานผ่านระบบไร้สาย อาจตรวจสอบความเร็วไม่ได้ตามที่กำหนด เนื่องจากข้อจำกัดความเร็ว Wi-Fi ของเครือข่ายภายในบ้านไม่สามารถรองรับความเร็วดังกล่าวได้ เป็นต้น
นอกจากนี้ ในปัจจุบันยังมีบริการคลาวด์ในอินเทอร์เน็ต คือการให้บริการทรัพยากรคอมพิวเตอร์ เช่น การจัดเก็บข้อมูล ซอฟต์แวร์ หรือโครงสร้างพื้นฐาน ผ่านระบบออนไลน์ โดยผู้ใช้สามารถเข้าถึงได้ทุกที่ทุกเวลา ซึ่งสะท้อนให้เห็นถึงความแตกต่างของบริการอินเทอร์เน็ตในยุคเก่าและยุคปัจจุบัน โดยยุคเก่าเน้นการสื่อสารข้อความ ส่วนยุคใหม่เน้นมัลติมีเดีย คลาวด์ และ IoT</t>
    </r>
  </si>
  <si>
    <t>ให้บริการแบบออนไลน์ เข้าถึงได้ทุกที่ทุกเวลา</t>
  </si>
  <si>
    <r>
      <rPr>
        <b/>
        <sz val="10"/>
        <color rgb="FF000000"/>
        <rFont val="Arial"/>
        <family val="2"/>
        <scheme val="minor"/>
      </rPr>
      <t>การให้บริการคลาวด์และการสืบค้นข้อมูลในยุคดิจิทัล</t>
    </r>
    <r>
      <rPr>
        <sz val="10"/>
        <color rgb="FF000000"/>
        <rFont val="Arial"/>
        <family val="2"/>
        <scheme val="minor"/>
      </rPr>
      <t xml:space="preserve">
ความหมายของการให้บริการคลาวด์ในอินเทอร์เน็ต หรือ คลาวด์ คือการให้บริการทรัพยากรคอมพิวเตอร์ผ่านอินเทอร์เน็ต เช่น การเก็บข้อมูล โดยมีลักษณะของการให้บริการแบบออนไลน์ที่สามารถเข้าถึงได้ทุกที่ทุกเวลา ความสำคัญของการให้บริการคลาวด์ในอินเทอร์เน็ตอยู่ที่การช่วยลดต้นทุน เพิ่มความสะดวก และรองรับการทำงานร่วมกัน สำหรับข้อดีของการให้บริการคลาวด์ในอินเทอร์เน็ต ได้แก่ การเข้าถึงง่าย ขยายระบบได้รวดเร็ว และไม่ต้องลงทุนฮาร์ดแวร์ อย่างไรก็ตาม มีข้อสังเกตของการให้บริการคลาวด์ในอินเทอร์เน็ตที่ต้องพิจารณา คือเรื่องความปลอดภัย ความเป็นส่วนตัว และการพึ่งพาผู้ให้บริการ
สำหรับการจำแนกบริการคลาวด์คอมพิวติงนั้น แบ่งออกเป็น 3 รูปแบบหลัก ได้แก่ SaaS, IaaS และ PaaS เริ่มจาก SaaS (Software as a Service) คือการใช้ซอฟต์แวร์ผ่านอินเทอร์เน็ต เช่น Gmail, Google Docs ต่อมาคือ IaaS (Infrastructure as a Service) คือการเช่าโครงสร้างพื้นฐาน เช่น เซิร์ฟเวอร์ เสมือน และ PaaS (Platform as a Service) คือการใช้แพลตฟอร์มสำหรับพัฒนาแอป เช่น Google App Engine
ในส่วนของการใช้งานอินเทอร์เน็ตเพื่อการค้นหาข้อมูล สามารถทำได้โดยใช้เครื่องมือค้นหาอย่าง Google, Bing หรือ Yahoo โดยพิมพ์คำค้นหาในช่อง Search แล้วกด Enter ระบบจะแสดงผลลัพธ์ที่เกี่ยวข้อง ซึ่งลักษณะการค้นหาแบบ Search Engine คือระบบค้นหาข้อมูล เช่น Google, Bing โดยมีขั้นตอนการค้นหาข้อมูลผ่านเว็บไซต์ (Search Engine) ด้วย Google เริ่มจากการเปิด Google พิมพ์คำค้นหา กด Enter แล้วเลือกผลลัพธ์ นอกจากนี้ยังมีเทคนิคการกำหนดรูปแบบการค้นหาโดยใช้เครื่องหมายคำพูด (“…”) หรือเครื่องหมายบวก/ลบ เพื่อเจาะจงผลลัพธ์ อีกรูปแบบหนึ่งคือลักษณะการค้นหาแบบ Search Directories คือการค้นหาผ่านหมวดหมู่ที่จัดไว้ เช่น Yahoo Directory และลักษณะการค้นหาแบบ Intelligent Search คือการค้นหาที่ใช้ AI และ Machine Learning เพื่อให้ผลลัพธ์ตรงตามบริบทและความต้องการของผู้ใช้มากขึ้น 
ปัจจุบันการค้นหาข้อมูลบนอุปกรณ์เคลื่อนที่ได้รับความนิยมอย่างมาก สามารถค้นหาข้อมูลได้โดยใช้แอปพลิเคชัน Google หรือเบราว์เซอร์บนสมาร์ทโฟน พิมพ์คำค้นหาในช่อง Search แล้วกด Enter ระบบจะแสดงผลลัพธ์ที่เกี่ยวข้อง หรือใช้วิธีการค้นหาข้อมูลด้วยเสียง โดยแตะที่ไอคอน "ไมโครโฟน" ในแถบค้นหาของ Google จากนั้นพูดคำที่ต้องการค้นหา ระบบจะประมวลผลเสียงเป็นข้อความและแสดงผลลัพธ์ทันที รวมถึงขั้นตอนการค้นหาข้อมูลด้วยภาพ โดยเปิดแอป Google แล้วแตะที่ไอคอน "กล้อง" (Google Lens) เพื่อถ่ายภาพวัตถุหรือเลือกรูปจากเครื่อง ระบบจะค้นหาข้อมูลที่เกี่ยวข้องจากภาพนั้น   
เทคโนโลยีล่าสุดคือการค้นหาข้อมูลด้วย AI ซึ่งคือการใช้ระบบอัจฉริยะในการประมวลผลและตอบสนองต่อคำถามของผู้ใช้ โดยสามารถให้ผลลัพธ์ที่รวดเร็ว เจาะลึก และปรับตามบริบทได้ดีกว่าการค้นหาแบบดั้งเดิม เช่น ChatGPT หรือ Google SGE โดยขั้นตอนการค้นหาข้อมูลด้วย AI ด้วย ChatGPT คือการค้นหาแบบโต้ตอบ ซึ่ง AI จะสรุปคำตอบจากฐานข้อมูลขนาดใหญ่และตอบคำถามคุณในลักษณะการสนทนา ช่วยให้เข้าใจเรื่องที่ซับซ้อนได้ง่ายขึ้น ทั้งนี้ เพื่อการใช้งานที่ครบถ้วน ผู้ใช้ควรทำการลงทะเบียนบัญชี Google ซึ่งคือการสร้างบัญชีผู้ใช้เพื่อเข้าถึงบริการต่าง ๆ ของ Google เช่น Gmail, YouTube, Google Drive และ Google Calendar</t>
    </r>
  </si>
  <si>
    <t>1. เข้าไปที่ accounts.google.com 2. เลือก "สร้างบัญชี" 3. กรอกชื่อ-นามสกุล 4. ตั้งชื่อผู้ใช้ (@gmail.com) และรหัสผ่าน 5. ยืนยันเบอร์โทรศัพท์ตามขั้นตอน</t>
  </si>
  <si>
    <r>
      <rPr>
        <b/>
        <sz val="10"/>
        <color rgb="FF000000"/>
        <rFont val="Arial"/>
        <family val="2"/>
        <scheme val="minor"/>
      </rPr>
      <t xml:space="preserve">การใช้งานบัญชี Google และแอปพลิเคชันพื้นฐานในยุคดิจิทัล
</t>
    </r>
    <r>
      <rPr>
        <sz val="10"/>
        <color rgb="FF000000"/>
        <rFont val="Arial"/>
        <family val="2"/>
        <scheme val="minor"/>
      </rPr>
      <t>ไปรษณีย์อิเล็กทรอนิกส์ (Electronics Mail)
หรือเรียกสั้น ๆ ว่า อีเมล (E-Mail) เป็นบริการในยุคแรก ๆ แต่ปัจจุบันยังมีความสำคัญและจำเป็นต่อการใช้งาน ไม่ว่าจะเป็นการติดต่อเพื่อการรับ-ส่งข้อมูลที่เป็นหลักฐาน การส่งข้อมูลสมัครงาน รวมทั้งการติดต่อเพื่อการใช้บริการบนอินเทอร์เน็ต โดยจะมีทั้งอีเมลที่เป็นส่วนขององค์กร และอีเมลจากการให้บริการทั่วไป
รูปแบบชื่ออีเมล (Email Address)
ประกอบด้วย 2 ส่วนคือ ชื่อที่กำหนด และโดเมนที่ใช้งาน ในรูปแบบ yourname@domain.com * ส่วนแรก yourname คือ ข้อความหรือชื่อที่ตั้งขึ้นโดยจะต้องไม่ซ้ำกับชื่อที่มีอยู่ก่อนแล้วในโดเมนนั้น
เครื่องหมาย @ จะใช้สำหรับกั้นระหว่างชื่อผู้ใช้กับชื่อโดเมน ซึ่งโดยทั่วไปจะเป็น @gmail.com, @outlook.com, @yahoo.com และ @hotmail.com หรือกรณีเป็นโดเมนองค์กร เช่น @stc.ac.th เป็นต้น
การใช้งานอีเมลของกูเกิล (Gmail)
สามารถดำเนินการได้ทันทีหลังจากมีบัญชี Google โดยกรณีเครื่องคอมพิวเตอร์ทั่วไป สามารถใช้งานโดยเปิดใช้ผ่าน Google Chrome โดยคลิกไปที่หน้าจอตรงคำว่า Gmail
แต่ในกรณีใช้งานบนเครื่องอื่นที่ไม่ได้มีการลงชื่อเข้าใช้งาน จะต้องเข้าไปที่เว็บไซต์ google.com หรือ mail.google.com และต้องมีการป้อนอีเมลและใส่รหัสผ่านเพื่อเข้าใช้งาน โดยบางกรณีอาจต้องป้อนรหัสจากกูเกิลที่ส่งมาเป็นข้อความที่หมายเลขโทรศัพท์ที่ลงทะเบียนไว้ เพื่อความปลอดภัยในการใช้งาน
ในยุคปัจจุบัน การมีบัญชี Google มีความสำคัญอย่างมากเพื่อใช้เข้าถึงบริการต่างๆ ของ Google ได้อย่างเต็มที่ เช่น Gmail, YouTube, Google Drive และใช้ลงชื่อเข้าใช้แอปพลิเคชันหรือเว็บไซต์อื่นๆ ได้สะดวก สำหรับขั้นตอนการลงทะเบียนบัญชี Google นั้น เริ่มต้นด้วยการเข้าไปที่ accounts.google.com เลือก "สร้างบัญชี" กรอกชื่อ-นามสกุล ตั้งชื่อผู้ใช้ (@gmail.com) และรหัสผ่าน จากนั้นยืนยันเบอร์โทรศัพท์ตามขั้นตอนที่กำหนด
บริการหลักที่สำคัญคือการใช้งานไปรษณีย์อิเล็กทรอนิกส์ หรือ Email ซึ่งคือระบบการสื่อสารผ่านอินเทอร์เน็ตที่ช่วยให้ผู้ใช้สามารถส่ง รับ และจัดเก็บข้อความหรือไฟล์แนบได้อย่างรวดเร็วและสะดวก โดยมีความสำคัญคือใช้สื่อสารอย่างเป็นทางการ รวดเร็ว และเก็บบันทึกได้ หนึ่งในผู้ให้บริการยอดนิยมคือ Gmail ซึ่งเป็นบริการอีเมลบนคลาวด์ สามารถส่ง รับ และจัดเก็บจดหมายได้ ขั้นตอนการเข้าใช้ไปรษณีย์อิเล็กทรอนิกส์ Gmail เริ่มจากเปิดเว็บเบราว์เซอร์ แล้วไปที่ www.gmail.com จากนั้นกรอกอีเมลและรหัสผ่านบัญชี Google กด Sign in เพื่อเข้าสู่กล่องจดหมาย Gmail ภายในจะมีเมนูหลักประกอบด้วย Inbox (กล่องจดหมาย), Starred (ติดดาว), Sent (ส่งแล้ว), Drafts (ร่างจดหมาย) และ Trash (ถังขยะ)
หากต้องการปรับแต่งให้แสดงเป็นภาษาไทย ให้เข้าสู่ระบบ Gmail แล้วคลิกไอคอนรูปเฟือง (การตั้งค่า) เลือก “See all settings” ไปที่แท็บ General ในหัวข้อ Language เลือก “ภาษาไทย” แล้วกด Save Changes ระบบจะเปลี่ยนเป็นภาษาไทยทันที ส่วนขั้นตอนการเขียนจดหมาย ให้คลิกที่ปุ่ม "Compose" (เขียน) จากนั้นระบุอีเมลผู้รับ (To) ใส่หัวข้อ (Subject) พิมพ์เนื้อหาจดหมาย แล้วกดปุ่ม "Send" (ส่ง) เมื่อเลิกใช้งานควรทำการออกจากระบบโดยคลิกที่รูปโปรไฟล์ของคุณบริเวณมุมขวาบนของหน้าจอ แล้วเลือกเมนู "Sign out" (ออกจากระบบ) เพื่อความปลอดภัยของข้อมูล
นอกจากการใช้งานบนคอมพิวเตอร์แล้ว การใช้แอปพลิเคชันพื้นฐานบนอุปกรณ์เคลื่อนที่ก็เป็นสิ่งจำเป็น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 สำหรับแอปพลิเคชัน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 ขั้นตอนการใช้งานบนระบบปฏิบัติการ Android ให้เปิดแอป Gmail กด “Sign in” กรอกอีเมลและรหัสผ่านบัญชี Google แล้วกด Next เพื่อเข้าสู่กล่องจดหมาย ส่วนระบบปฏิบัติการ iOS ให้ดาวน์โหลดแอป Gmail จาก App Store เปิดแอป กด “Sign in” กรอกอีเมลและรหัสผ่านบัญชี Google แล้วกด Next เพื่อเข้าสู่กล่องจดหมาย ซึ่งทั้งสองระบบสามารถกด Compose เพื่อเขียนอีเมลใหม่ และใช้เมนู Inbox, Sent, Drafts เพื่อจัดการจดหมายได้เช่นเดียวกัน
ต่อมาคือแอปพลิเคชัน YouTube ซึ่งคือแพลตฟอร์มวิดีโอออนไลน์ที่ให้ผู้ใช้ดู แชร์ และอัปโหลดวิดีโอได้ฟรี โดยลักษณะการทำงานของ YouTube จะทำงานผ่านระบบสตรีมมิ่ง ผู้ใช้สามารถค้นหาวิดีโอ ดูแบบออนไลน์ กด Subscribe ช่องที่สนใจ และแสดงความคิดเห็นได้ ขั้นตอนการใช้งานบน Android ให้เปิดแอป YouTube เข้าสู่ระบบด้วยบัญชี Google ใช้ช่องค้นหาเพื่อหาวิดีโอ และกด Play เพื่อดู ส่วนบน iOS ให้ดาวน์โหลดแอป YouTube จาก App Store เปิดแอป เข้าสู่ระบบด้วยบัญชี Google ใช้ช่องค้นหาเพื่อหาวิดีโอ และกด Play เพื่อดู โดยทั้งสองระบบสามารถกด Subscribe, Like หรือ Share ได้ตามต้องการ
สุดท้ายคือแอปพลิเคชัน Google Calendar คือแอปพลิเคชันจัดการตารางเวลาและกิจกรรมของ Google ที่ช่วยให้ผู้ใช้สร้าง นัดหมาย และแจ้งเตือนเหตุการณ์ได้สะดวก โดยลักษณะการทำงานคือให้ผู้ใช้สร้างกิจกรรม กำหนดเวลา สถานที่ และการแจ้งเตือน พร้อมซิงค์ข้อมูลกับอุปกรณ์ทุกเครื่องที่ใช้บัญชี Google เดียวกัน ขั้นตอนการใช้งานบน Android ให้เปิดแอป Google Calendar เข้าสู่ระบบด้วยบัญชี Google กดปุ่ม “+” เพื่อสร้างกิจกรรมใหม่ กำหนดชื่อ เวลา สถานที่ และการแจ้งเตือน แล้วกด Save เพื่อบันทึก สำหรับบน iOS ให้ดาวน์โหลดแอป Google Calendar จาก App Store เปิดแอป เข้าสู่ระบบด้วยบัญชี Google กดปุ่ม “+” เพื่อสร้างกิจกรรมใหม่ กำหนดชื่อ เวลา สถานที่ และการแจ้งเตือน จากนั้นกด Save เพื่อบันทึก</t>
    </r>
  </si>
  <si>
    <t>ไปรษณีย์อิเล็กทรอนิกส์ (Email) คือระบบการสื่อสารผ่านอินเทอร์เน็ตที่ช่วยให้ผู้ใช้สามารถส่ง รับ และจัดเก็บข้อความหรือไฟล์แนบได้อย่างรวดเร็วและสะดวก</t>
  </si>
  <si>
    <t>ใช้สื่อสารอย่างเป็นทางการ รวดเร็ว และเก็บบันทึกได้</t>
  </si>
  <si>
    <t>เปิดเว็บเบราว์เซอร์ → ไปที่ www.gmail.com  → กรอกอีเมลและรหัสผ่านบัญชี Google → กด Sign in → เข้าสู่กล่องจดหมาย Gmail</t>
  </si>
  <si>
    <t>เมนูหลักประกอบด้วย: Inbox (กล่องจดหมาย), Starred (ติดดาว), Sent (ส่งแล้ว), Drafts (ร่างจดหมาย) และ Trash (ถังขยะ)</t>
  </si>
  <si>
    <t>เข้าสู่ระบบ Gmail → คลิกไอคอนรูปเฟือง (การตั้งค่า) → เลือก “See all settings” → ไปที่แท็บ General → ในหัวข้อ Language เลือก “ภาษาไทย” → กด Save Changes ระบบจะเปลี่ยนเป็นภาษาไทยทันที</t>
  </si>
  <si>
    <t>คลิกที่ปุ่ม "Compose" (เขียน) &gt; ระบุอีเมลผู้รับ (To) &gt; ใส่หัวข้อ (Subject) &gt; พิมพ์เนื้อหาจดหมาย &gt; แล้วกดปุ่ม "Send" (ส่ง)</t>
  </si>
  <si>
    <t>คลิกที่รูปโปรไฟล์ของคุณบริเวณมุมขวาบนของหน้าจอ แล้วเลือกเมนู "Sign out" (ออกจากระบบ) เพื่อความปลอดภัยของข้อมูล</t>
  </si>
  <si>
    <t>การใช้แอปพลิเคชันพื้นฐานบนอุปกรณ์เคลื่อนที่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t>
  </si>
  <si>
    <t>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t>
  </si>
  <si>
    <t>เปิดแอป Gmail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</si>
  <si>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ดาวน์โหลดแอป Gmail จาก App Store → เปิดแอป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</si>
  <si>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YouTube คือแพลตฟอร์มวิดีโอออนไลน์ที่ให้ผู้ใช้ดู แชร์ และอัปโหลดวิดีโอได้ฟรี</t>
  </si>
  <si>
    <t>YouTube ทำงานผ่านระบบสตรีมมิ่ง ผู้ใช้สามารถค้นหาวิดีโอ ดูแบบออนไลน์ กด Subscribe ช่องที่สนใจ และแสดงความคิดเห็นได้</t>
  </si>
  <si>
    <t>เปิดแอป YouTube → เข้าสู่ระบบด้วยบัญชี Google → ใช้ช่องค้นหาเพื่อหาวิดีโอ → กด Play เพื่อดู → สามารถกด Subscribe, Like หรือ Share ได้</t>
  </si>
  <si>
    <t>ดาวน์โหลดแอป YouTube จาก App Store → เปิดแอป → เข้าสู่ระบบด้วยบัญชี Google → ใช้ช่องค้นหาเพื่อหาวิดีโอ → กด Play เพื่อดู → สามารถกด Subscribe, Like หรือ Share ได้</t>
  </si>
  <si>
    <t>Google Calendar คือแอปพลิเคชันจัดการตารางเวลาและกิจกรรมของ Google ที่ช่วยให้ผู้ใช้สร้าง นัดหมาย และแจ้งเตือนเหตุการณ์ได้สะดวก</t>
  </si>
  <si>
    <t>Google Calendar ทำงานโดยให้ผู้ใช้สร้างกิจกรรม กำหนดเวลา สถานที่ และการแจ้งเตือน พร้อมซิงค์ข้อมูลกับอุปกรณ์ทุกเครื่องที่ใช้บัญชี Google เดียวกัน</t>
  </si>
  <si>
    <t>เปิดแอป Google Calendar → เข้าสู่ระบบด้วยบัญชี Google → กดปุ่ม “+” เพื่อสร้างกิจกรรมใหม่ → กำหนดชื่อ เวลา สถานที่ และการแจ้งเตือน → กด Save เพื่อบันทึก</t>
  </si>
  <si>
    <t>ดาวน์โหลดแอป Google Calendar จาก App Store → เปิดแอป → เข้าสู่ระบบด้วยบัญชี Google → กดปุ่ม “+” เพื่อสร้างกิจกรรมใหม่ → กำหนดชื่อ เวลา สถานที่ และการแจ้งเตือน → กด Save เพื่อบันทึก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</si>
</sst>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b/>
      <sz val="10"/>
      <color theme="1"/>
      <name val="Arial"/>
      <scheme val="minor"/>
    </font>
    <font>
      <sz val="10"/>
      <color theme="1"/>
      <name val="Arial"/>
      <scheme val="minor"/>
    </font>
    <font>
      <b/>
      <sz val="16"/>
      <color theme="1"/>
      <name val="TH SarabunPSK"/>
    </font>
    <font>
      <sz val="10"/>
      <name val="Arial"/>
    </font>
    <font>
      <sz val="16"/>
      <color theme="1"/>
      <name val="TH SarabunPSK"/>
    </font>
    <font>
      <sz val="10"/>
      <color theme="1"/>
      <name val="TH SarabunPSK"/>
    </font>
    <font>
      <sz val="16"/>
      <color theme="1"/>
      <name val="Arial"/>
      <scheme val="minor"/>
    </font>
    <font>
      <sz val="18"/>
      <name val="TH Sarabun New"/>
      <family val="2"/>
    </font>
    <font>
      <sz val="10"/>
      <color rgb="FF000000"/>
      <name val="TH Sarabun New"/>
      <family val="2"/>
    </font>
    <font>
      <sz val="10"/>
      <color rgb="FF000000"/>
      <name val="Arial"/>
      <family val="2"/>
      <scheme val="minor"/>
    </font>
    <font>
      <sz val="10"/>
      <color theme="1"/>
      <name val="Arial"/>
      <family val="2"/>
      <scheme val="minor"/>
    </font>
    <font>
      <b/>
      <sz val="10"/>
      <color theme="1"/>
      <name val="Arial"/>
      <family val="2"/>
      <scheme val="minor"/>
    </font>
    <font>
      <b/>
      <sz val="10"/>
      <color rgb="FF000000"/>
      <name val="Arial"/>
      <family val="2"/>
      <scheme val="minor"/>
    </font>
    <font>
      <sz val="12"/>
      <name val="Arial"/>
      <family val="2"/>
    </font>
    <font>
      <sz val="12"/>
      <color rgb="FF000000"/>
      <name val="Arial"/>
      <family val="2"/>
      <scheme val="minor"/>
    </font>
    <font>
      <sz val="12"/>
      <name val="Lexend"/>
    </font>
    <font>
      <sz val="16"/>
      <color rgb="FF000000"/>
      <name val="TH SarabunPSK"/>
      <family val="2"/>
    </font>
    <font>
      <b/>
      <sz val="18"/>
      <color rgb="FF000000"/>
      <name val="TH Sarabun New"/>
      <family val="2"/>
      <charset val="222"/>
    </font>
    <font>
      <sz val="18"/>
      <color rgb="FF000000"/>
      <name val="TH Sarabun New"/>
      <family val="2"/>
      <charset val="222"/>
    </font>
    <font>
      <b/>
      <sz val="18"/>
      <color rgb="FF000000"/>
      <name val="TH SarabunPSK"/>
      <family val="2"/>
      <charset val="222"/>
    </font>
    <font>
      <sz val="18"/>
      <color rgb="FF000000"/>
      <name val="TH SarabunPSK"/>
      <family val="2"/>
      <charset val="222"/>
    </font>
    <font>
      <b/>
      <sz val="18"/>
      <name val="TH Sarabun New"/>
      <family val="2"/>
      <charset val="222"/>
    </font>
    <font>
      <b/>
      <sz val="18"/>
      <color rgb="FF000000"/>
      <name val="TH Sarabun New"/>
      <family val="2"/>
    </font>
    <font>
      <b/>
      <sz val="30"/>
      <color theme="1"/>
      <name val="Arial"/>
      <family val="2"/>
      <scheme val="minor"/>
    </font>
    <font>
      <b/>
      <sz val="20"/>
      <color rgb="FF000000"/>
      <name val="Arial"/>
      <family val="2"/>
      <scheme val="minor"/>
    </font>
    <font>
      <b/>
      <sz val="18"/>
      <color rgb="FF000000"/>
      <name val="Arial"/>
      <family val="2"/>
      <scheme val="minor"/>
    </font>
  </fonts>
  <fills count="17">
    <fill>
      <patternFill patternType="none"/>
    </fill>
    <fill>
      <patternFill patternType="gray125"/>
    </fill>
    <fill>
      <patternFill patternType="solid">
        <fgColor rgb="FFEAD1DC"/>
        <bgColor rgb="FFEAD1DC"/>
      </patternFill>
    </fill>
    <fill>
      <patternFill patternType="solid">
        <fgColor rgb="FFFFE599"/>
        <bgColor rgb="FFFFE599"/>
      </patternFill>
    </fill>
    <fill>
      <patternFill patternType="solid">
        <fgColor rgb="FF9FC5E8"/>
        <bgColor rgb="FF9FC5E8"/>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theme="5" tint="0.59999389629810485"/>
        <bgColor rgb="FFFFE599"/>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CCFF"/>
        <bgColor rgb="FFD9D2E9"/>
      </patternFill>
    </fill>
    <fill>
      <patternFill patternType="solid">
        <fgColor rgb="FFFFCCFF"/>
        <bgColor indexed="64"/>
      </patternFill>
    </fill>
    <fill>
      <patternFill patternType="solid">
        <fgColor rgb="FFFFCCFF"/>
        <bgColor rgb="FFEAD1DC"/>
      </patternFill>
    </fill>
    <fill>
      <patternFill patternType="solid">
        <fgColor theme="6" tint="0.79998168889431442"/>
        <bgColor indexed="64"/>
      </patternFill>
    </fill>
    <fill>
      <patternFill patternType="solid">
        <fgColor theme="7" tint="0.39997558519241921"/>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0" fontId="10" fillId="0" borderId="0"/>
  </cellStyleXfs>
  <cellXfs count="123">
    <xf numFmtId="0" fontId="0" fillId="0" borderId="0" xfId="0"/>
    <xf numFmtId="0" fontId="1" fillId="3" borderId="0" xfId="0" applyFont="1" applyFill="1" applyAlignment="1">
      <alignment horizontal="center"/>
    </xf>
    <xf numFmtId="0" fontId="1" fillId="4" borderId="0" xfId="0" applyFont="1" applyFill="1" applyAlignment="1">
      <alignment horizontal="center"/>
    </xf>
    <xf numFmtId="0" fontId="2" fillId="0" borderId="0" xfId="0" applyFont="1" applyAlignment="1">
      <alignment horizontal="center"/>
    </xf>
    <xf numFmtId="0" fontId="2" fillId="0" borderId="0" xfId="0" applyFont="1"/>
    <xf numFmtId="0" fontId="2" fillId="0" borderId="0" xfId="0" applyFont="1" applyAlignment="1">
      <alignment horizontal="left"/>
    </xf>
    <xf numFmtId="0" fontId="2" fillId="0" borderId="0" xfId="0" applyFont="1" applyAlignment="1">
      <alignment vertical="center"/>
    </xf>
    <xf numFmtId="0" fontId="2" fillId="0" borderId="0" xfId="0" applyFont="1" applyAlignment="1">
      <alignment horizontal="left" vertical="center"/>
    </xf>
    <xf numFmtId="0" fontId="2" fillId="5" borderId="0" xfId="0" applyFont="1" applyFill="1"/>
    <xf numFmtId="0" fontId="2" fillId="0" borderId="0" xfId="0" applyFont="1" applyAlignment="1">
      <alignment horizontal="center" vertical="center"/>
    </xf>
    <xf numFmtId="0" fontId="1" fillId="6" borderId="0" xfId="0" applyFont="1" applyFill="1" applyAlignment="1">
      <alignment horizontal="center"/>
    </xf>
    <xf numFmtId="0" fontId="3" fillId="7" borderId="3" xfId="0" applyFont="1" applyFill="1" applyBorder="1" applyAlignment="1">
      <alignment horizontal="center"/>
    </xf>
    <xf numFmtId="0" fontId="3" fillId="7" borderId="3" xfId="0" applyFont="1" applyFill="1" applyBorder="1" applyAlignment="1">
      <alignment horizontal="left"/>
    </xf>
    <xf numFmtId="0" fontId="5" fillId="0" borderId="0" xfId="0" applyFont="1" applyAlignment="1">
      <alignment horizontal="center"/>
    </xf>
    <xf numFmtId="0" fontId="5" fillId="0" borderId="0" xfId="0" applyFont="1"/>
    <xf numFmtId="0" fontId="6" fillId="0" borderId="0" xfId="0" applyFont="1"/>
    <xf numFmtId="0" fontId="7" fillId="0" borderId="0" xfId="0" applyFont="1"/>
    <xf numFmtId="0" fontId="1" fillId="2" borderId="0" xfId="0" applyFont="1" applyFill="1" applyAlignment="1">
      <alignment horizontal="center"/>
    </xf>
    <xf numFmtId="0" fontId="8" fillId="0" borderId="0" xfId="0" applyFont="1" applyAlignment="1">
      <alignment horizontal="center" vertical="center"/>
    </xf>
    <xf numFmtId="0" fontId="9" fillId="0" borderId="0" xfId="0" applyFont="1" applyAlignment="1">
      <alignment vertical="center"/>
    </xf>
    <xf numFmtId="0" fontId="10" fillId="0" borderId="0" xfId="0" applyFont="1"/>
    <xf numFmtId="0" fontId="10" fillId="0" borderId="0" xfId="0" applyFont="1" applyAlignment="1">
      <alignment horizontal="center"/>
    </xf>
    <xf numFmtId="10" fontId="0" fillId="0" borderId="0" xfId="0" applyNumberFormat="1" applyAlignment="1">
      <alignment horizontal="center"/>
    </xf>
    <xf numFmtId="0" fontId="1" fillId="8" borderId="0" xfId="0" applyFont="1" applyFill="1" applyAlignment="1">
      <alignment horizontal="center"/>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10" fillId="0" borderId="0" xfId="0" applyFont="1" applyAlignment="1">
      <alignment wrapText="1"/>
    </xf>
    <xf numFmtId="0" fontId="10" fillId="0" borderId="0" xfId="0" applyFont="1" applyAlignment="1">
      <alignment horizontal="left" vertical="center" wrapText="1"/>
    </xf>
    <xf numFmtId="0" fontId="11" fillId="0" borderId="0" xfId="0" applyFont="1"/>
    <xf numFmtId="0" fontId="10" fillId="0" borderId="0" xfId="0" applyFont="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0" fillId="0" borderId="0" xfId="0" applyFont="1" applyAlignment="1">
      <alignment horizontal="left" wrapText="1"/>
    </xf>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wrapText="1"/>
    </xf>
    <xf numFmtId="0" fontId="2" fillId="0" borderId="0" xfId="0" applyFont="1" applyAlignment="1">
      <alignment horizontal="left" vertical="center" wrapText="1"/>
    </xf>
    <xf numFmtId="0" fontId="12" fillId="9" borderId="0" xfId="0" applyFont="1" applyFill="1" applyAlignment="1">
      <alignment horizontal="center"/>
    </xf>
    <xf numFmtId="0" fontId="12" fillId="10" borderId="0" xfId="0" applyFont="1" applyFill="1" applyAlignment="1">
      <alignment horizontal="center"/>
    </xf>
    <xf numFmtId="0" fontId="12" fillId="11" borderId="0" xfId="0" applyFont="1" applyFill="1" applyAlignment="1">
      <alignment horizontal="center"/>
    </xf>
    <xf numFmtId="0" fontId="11" fillId="0" borderId="0" xfId="0" applyFont="1" applyAlignment="1">
      <alignment horizontal="left" vertical="center" wrapText="1"/>
    </xf>
    <xf numFmtId="0" fontId="0" fillId="0" borderId="0" xfId="0" applyAlignment="1">
      <alignment horizontal="left" vertical="center"/>
    </xf>
    <xf numFmtId="0" fontId="12" fillId="9" borderId="0" xfId="0" applyFont="1" applyFill="1" applyAlignment="1">
      <alignment horizontal="center" vertical="center"/>
    </xf>
    <xf numFmtId="0" fontId="13" fillId="0" borderId="0" xfId="0" applyFont="1" applyAlignment="1">
      <alignment horizontal="center"/>
    </xf>
    <xf numFmtId="0" fontId="12" fillId="9" borderId="0" xfId="0" applyFont="1" applyFill="1" applyAlignment="1">
      <alignment horizontal="center" vertical="center" wrapText="1"/>
    </xf>
    <xf numFmtId="0" fontId="14" fillId="0" borderId="0" xfId="0" applyFont="1"/>
    <xf numFmtId="0" fontId="14" fillId="0" borderId="0" xfId="0" applyFont="1" applyAlignment="1">
      <alignment horizontal="right"/>
    </xf>
    <xf numFmtId="2" fontId="14" fillId="0" borderId="0" xfId="0" applyNumberFormat="1" applyFont="1"/>
    <xf numFmtId="0" fontId="14" fillId="0" borderId="0" xfId="0" applyFont="1" applyAlignment="1">
      <alignment horizontal="center"/>
    </xf>
    <xf numFmtId="0" fontId="15" fillId="0" borderId="0" xfId="0" applyFont="1"/>
    <xf numFmtId="0" fontId="10" fillId="0" borderId="0" xfId="0" applyFont="1" applyAlignment="1">
      <alignment vertical="top" wrapText="1"/>
    </xf>
    <xf numFmtId="0" fontId="0" fillId="9" borderId="0" xfId="0" applyFill="1" applyAlignment="1">
      <alignment horizontal="center"/>
    </xf>
    <xf numFmtId="0" fontId="1" fillId="2" borderId="0" xfId="0" applyFont="1" applyFill="1" applyAlignment="1">
      <alignment horizontal="center"/>
    </xf>
    <xf numFmtId="0" fontId="0" fillId="0" borderId="0" xfId="0"/>
    <xf numFmtId="0" fontId="3" fillId="7" borderId="1" xfId="0" applyFont="1" applyFill="1" applyBorder="1" applyAlignment="1">
      <alignment horizontal="center"/>
    </xf>
    <xf numFmtId="0" fontId="4" fillId="0" borderId="2" xfId="0" applyFont="1" applyBorder="1"/>
    <xf numFmtId="0" fontId="0" fillId="0" borderId="4" xfId="0" applyBorder="1" applyAlignment="1">
      <alignment horizontal="center" vertical="center"/>
    </xf>
    <xf numFmtId="0" fontId="0" fillId="0" borderId="5" xfId="0" applyBorder="1" applyAlignment="1">
      <alignment horizontal="center" vertical="center"/>
    </xf>
    <xf numFmtId="0" fontId="8" fillId="0" borderId="6" xfId="0" applyFont="1" applyBorder="1" applyAlignment="1">
      <alignment horizontal="center" vertical="center"/>
    </xf>
    <xf numFmtId="0" fontId="0" fillId="0" borderId="0" xfId="0" applyAlignment="1">
      <alignment wrapText="1"/>
    </xf>
    <xf numFmtId="0" fontId="0" fillId="0" borderId="0" xfId="0" applyAlignment="1">
      <alignment vertical="center" wrapText="1"/>
    </xf>
    <xf numFmtId="0" fontId="12" fillId="11" borderId="0" xfId="0" applyFont="1" applyFill="1" applyAlignment="1">
      <alignment horizontal="center" vertical="center"/>
    </xf>
    <xf numFmtId="0" fontId="12" fillId="10" borderId="0" xfId="0" applyFont="1" applyFill="1" applyAlignment="1">
      <alignment horizontal="center" vertical="center"/>
    </xf>
    <xf numFmtId="0" fontId="0" fillId="0" borderId="0" xfId="0" applyNumberFormat="1"/>
    <xf numFmtId="0" fontId="17" fillId="0" borderId="0" xfId="0" applyFont="1" applyAlignment="1">
      <alignment horizontal="center" vertical="center" wrapText="1"/>
    </xf>
    <xf numFmtId="20" fontId="17" fillId="0" borderId="0" xfId="0" applyNumberFormat="1" applyFont="1" applyAlignment="1">
      <alignment horizontal="center" vertical="center" wrapText="1"/>
    </xf>
    <xf numFmtId="2" fontId="16" fillId="12" borderId="7" xfId="0" applyNumberFormat="1" applyFont="1" applyFill="1" applyBorder="1" applyAlignment="1">
      <alignment horizontal="center" vertical="center"/>
    </xf>
    <xf numFmtId="2" fontId="14" fillId="13" borderId="7" xfId="0" applyNumberFormat="1" applyFont="1" applyFill="1" applyBorder="1"/>
    <xf numFmtId="2" fontId="16" fillId="14" borderId="7" xfId="0" applyNumberFormat="1" applyFont="1" applyFill="1" applyBorder="1" applyAlignment="1">
      <alignment horizontal="center" vertical="center"/>
    </xf>
    <xf numFmtId="0" fontId="18" fillId="15" borderId="0" xfId="0" applyFont="1" applyFill="1" applyAlignment="1">
      <alignment vertical="center"/>
    </xf>
    <xf numFmtId="0" fontId="20" fillId="0" borderId="9"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7" xfId="0" applyFont="1" applyBorder="1" applyAlignment="1">
      <alignment horizontal="center" vertical="center" wrapText="1"/>
    </xf>
    <xf numFmtId="20" fontId="21" fillId="0" borderId="12" xfId="0" applyNumberFormat="1" applyFont="1" applyBorder="1" applyAlignment="1">
      <alignment horizontal="center" vertical="center" wrapText="1"/>
    </xf>
    <xf numFmtId="0" fontId="20" fillId="0" borderId="13"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4" xfId="0" applyFont="1" applyBorder="1" applyAlignment="1">
      <alignment horizontal="center" vertical="center" wrapText="1"/>
    </xf>
    <xf numFmtId="0" fontId="21" fillId="0" borderId="11" xfId="0" applyFont="1" applyBorder="1" applyAlignment="1">
      <alignment vertical="center" wrapText="1"/>
    </xf>
    <xf numFmtId="0" fontId="21" fillId="0" borderId="12" xfId="0" applyFont="1" applyBorder="1" applyAlignment="1">
      <alignment horizontal="center" vertical="center" wrapText="1"/>
    </xf>
    <xf numFmtId="0" fontId="20" fillId="0" borderId="0" xfId="0" applyFont="1" applyBorder="1" applyAlignment="1">
      <alignment horizontal="center" vertical="center" wrapText="1"/>
    </xf>
    <xf numFmtId="0" fontId="20" fillId="15" borderId="0" xfId="0" applyFont="1" applyFill="1" applyBorder="1" applyAlignment="1">
      <alignment horizontal="left" vertical="center" wrapText="1"/>
    </xf>
    <xf numFmtId="0" fontId="22" fillId="0" borderId="0" xfId="0" applyFont="1" applyAlignment="1">
      <alignment vertical="center"/>
    </xf>
    <xf numFmtId="0" fontId="22" fillId="0" borderId="0" xfId="0" applyFont="1" applyAlignment="1">
      <alignment horizontal="center" vertical="center"/>
    </xf>
    <xf numFmtId="2" fontId="22" fillId="0" borderId="9" xfId="0" applyNumberFormat="1" applyFont="1" applyFill="1" applyBorder="1" applyAlignment="1">
      <alignment horizontal="center" vertical="center"/>
    </xf>
    <xf numFmtId="2" fontId="22" fillId="0" borderId="10" xfId="0" applyNumberFormat="1" applyFont="1" applyFill="1" applyBorder="1" applyAlignment="1">
      <alignment horizontal="center" vertical="center"/>
    </xf>
    <xf numFmtId="0" fontId="22" fillId="0" borderId="0" xfId="0" applyFont="1" applyAlignment="1">
      <alignment horizontal="right" vertical="center"/>
    </xf>
    <xf numFmtId="2" fontId="22" fillId="0" borderId="11" xfId="0" applyNumberFormat="1" applyFont="1" applyFill="1" applyBorder="1" applyAlignment="1">
      <alignment vertical="center"/>
    </xf>
    <xf numFmtId="2" fontId="22" fillId="0" borderId="12" xfId="0" applyNumberFormat="1" applyFont="1" applyFill="1" applyBorder="1" applyAlignment="1">
      <alignment horizontal="center" vertical="center"/>
    </xf>
    <xf numFmtId="2" fontId="22" fillId="0" borderId="11" xfId="0" applyNumberFormat="1" applyFont="1" applyFill="1" applyBorder="1" applyAlignment="1">
      <alignment horizontal="center" vertical="center"/>
    </xf>
    <xf numFmtId="2" fontId="22" fillId="0" borderId="13" xfId="0" applyNumberFormat="1" applyFont="1" applyFill="1" applyBorder="1" applyAlignment="1">
      <alignment vertical="center"/>
    </xf>
    <xf numFmtId="2" fontId="22" fillId="0" borderId="14" xfId="0" applyNumberFormat="1" applyFont="1" applyFill="1" applyBorder="1" applyAlignment="1">
      <alignment horizontal="center" vertical="center"/>
    </xf>
    <xf numFmtId="0" fontId="18" fillId="0" borderId="0" xfId="0" applyFont="1" applyAlignment="1">
      <alignment vertical="center"/>
    </xf>
    <xf numFmtId="10" fontId="22" fillId="0" borderId="9" xfId="0" applyNumberFormat="1" applyFont="1" applyFill="1" applyBorder="1" applyAlignment="1">
      <alignment horizontal="center" vertical="center"/>
    </xf>
    <xf numFmtId="10" fontId="22" fillId="0" borderId="10" xfId="0" applyNumberFormat="1" applyFont="1" applyFill="1" applyBorder="1" applyAlignment="1">
      <alignment horizontal="center" vertical="center"/>
    </xf>
    <xf numFmtId="10" fontId="22" fillId="0" borderId="11" xfId="0" applyNumberFormat="1" applyFont="1" applyFill="1" applyBorder="1" applyAlignment="1">
      <alignment vertical="center"/>
    </xf>
    <xf numFmtId="10" fontId="22" fillId="0" borderId="12" xfId="0" applyNumberFormat="1" applyFont="1" applyFill="1" applyBorder="1" applyAlignment="1">
      <alignment horizontal="center" vertical="center"/>
    </xf>
    <xf numFmtId="10" fontId="22" fillId="0" borderId="11" xfId="0" applyNumberFormat="1" applyFont="1" applyFill="1" applyBorder="1" applyAlignment="1">
      <alignment horizontal="center" vertical="center"/>
    </xf>
    <xf numFmtId="10" fontId="22" fillId="0" borderId="13" xfId="0" applyNumberFormat="1" applyFont="1" applyFill="1" applyBorder="1" applyAlignment="1">
      <alignment vertical="center"/>
    </xf>
    <xf numFmtId="10" fontId="22" fillId="0" borderId="14" xfId="0" applyNumberFormat="1" applyFont="1" applyFill="1" applyBorder="1" applyAlignment="1">
      <alignment horizontal="center" vertical="center"/>
    </xf>
    <xf numFmtId="0" fontId="19" fillId="0" borderId="0" xfId="0" applyFont="1" applyAlignment="1">
      <alignment vertical="center"/>
    </xf>
    <xf numFmtId="0" fontId="19" fillId="0" borderId="0" xfId="0" applyFont="1" applyBorder="1" applyAlignment="1">
      <alignment vertical="center"/>
    </xf>
    <xf numFmtId="0" fontId="23" fillId="0" borderId="17" xfId="0" applyFont="1" applyBorder="1" applyAlignment="1">
      <alignment horizontal="center" vertical="center"/>
    </xf>
    <xf numFmtId="10" fontId="23" fillId="0" borderId="18" xfId="0" applyNumberFormat="1" applyFont="1" applyBorder="1" applyAlignment="1">
      <alignment horizontal="center" vertical="center"/>
    </xf>
    <xf numFmtId="0" fontId="23" fillId="0" borderId="19" xfId="0" applyFont="1" applyBorder="1" applyAlignment="1">
      <alignment horizontal="center" vertical="center"/>
    </xf>
    <xf numFmtId="10" fontId="23" fillId="0" borderId="20" xfId="0" applyNumberFormat="1" applyFont="1" applyBorder="1" applyAlignment="1">
      <alignment horizontal="center" vertical="center"/>
    </xf>
    <xf numFmtId="0" fontId="23" fillId="0" borderId="21" xfId="0" applyFont="1" applyBorder="1" applyAlignment="1">
      <alignment horizontal="center" vertical="center"/>
    </xf>
    <xf numFmtId="10" fontId="23" fillId="0" borderId="22" xfId="0" applyNumberFormat="1" applyFont="1" applyBorder="1" applyAlignment="1">
      <alignment horizontal="center" vertical="center"/>
    </xf>
    <xf numFmtId="0" fontId="0" fillId="16" borderId="0" xfId="0" applyFill="1"/>
    <xf numFmtId="0" fontId="0" fillId="0" borderId="0" xfId="0" applyFill="1"/>
    <xf numFmtId="0" fontId="11" fillId="0" borderId="0" xfId="1" applyFont="1"/>
    <xf numFmtId="0" fontId="10" fillId="0" borderId="0" xfId="1"/>
    <xf numFmtId="0" fontId="24" fillId="0" borderId="8" xfId="1" applyFont="1" applyBorder="1"/>
    <xf numFmtId="0" fontId="11" fillId="0" borderId="0" xfId="1" applyFont="1" applyAlignment="1">
      <alignment horizontal="center"/>
    </xf>
    <xf numFmtId="0" fontId="10" fillId="0" borderId="23" xfId="1" applyBorder="1" applyAlignment="1">
      <alignment vertical="top" wrapText="1"/>
    </xf>
    <xf numFmtId="0" fontId="10" fillId="0" borderId="24" xfId="1" applyBorder="1" applyAlignment="1">
      <alignment vertical="top" wrapText="1"/>
    </xf>
    <xf numFmtId="0" fontId="10" fillId="0" borderId="0" xfId="1" applyAlignment="1">
      <alignment wrapText="1"/>
    </xf>
    <xf numFmtId="0" fontId="11" fillId="0" borderId="0" xfId="1" applyFont="1" applyAlignment="1">
      <alignment horizontal="left"/>
    </xf>
    <xf numFmtId="0" fontId="10" fillId="0" borderId="25" xfId="1" applyBorder="1" applyAlignment="1">
      <alignment vertical="top" wrapText="1"/>
    </xf>
    <xf numFmtId="0" fontId="10" fillId="0" borderId="0" xfId="1" applyAlignment="1">
      <alignment vertical="top" wrapText="1"/>
    </xf>
  </cellXfs>
  <cellStyles count="2">
    <cellStyle name="Normal" xfId="0" builtinId="0"/>
    <cellStyle name="Normal 2" xfId="1" xr:uid="{6AABF6F3-E1EE-4284-A765-20BEB9C88791}"/>
  </cellStyles>
  <dxfs count="45">
    <dxf>
      <numFmt numFmtId="0" formatCode="General"/>
    </dxf>
    <dxf>
      <numFmt numFmtId="0" formatCode="General"/>
    </dxf>
    <dxf>
      <numFmt numFmtId="0" formatCode="General"/>
    </dxf>
    <dxf>
      <font>
        <b/>
        <i val="0"/>
        <strike val="0"/>
        <condense val="0"/>
        <extend val="0"/>
        <outline val="0"/>
        <shadow val="0"/>
        <u val="none"/>
        <vertAlign val="baseline"/>
        <sz val="10"/>
        <color theme="1"/>
        <name val="Arial"/>
        <family val="2"/>
        <scheme val="minor"/>
      </font>
      <fill>
        <patternFill patternType="solid">
          <fgColor indexed="64"/>
          <bgColor theme="5" tint="0.59999389629810485"/>
        </patternFill>
      </fill>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0"/>
        <color theme="1"/>
        <name val="Arial"/>
        <family val="2"/>
        <scheme val="minor"/>
      </font>
      <fill>
        <patternFill patternType="solid">
          <fgColor indexed="64"/>
          <bgColor theme="5" tint="0.59999389629810485"/>
        </patternFill>
      </fill>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Arial"/>
        <family val="2"/>
        <scheme val="minor"/>
      </font>
      <fill>
        <patternFill patternType="solid">
          <fgColor indexed="64"/>
          <bgColor theme="5" tint="0.59999389629810485"/>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0"/>
        <color theme="1"/>
        <name val="Arial"/>
        <family val="2"/>
        <scheme val="minor"/>
      </font>
      <fill>
        <patternFill patternType="solid">
          <fgColor indexed="64"/>
          <bgColor theme="5" tint="0.59999389629810485"/>
        </patternFill>
      </fill>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s>
  <tableStyles count="0" defaultTableStyle="TableStyleMedium2" defaultPivotStyle="PivotStyleLight16"/>
  <colors>
    <mruColors>
      <color rgb="FFFFCCFF"/>
      <color rgb="FFFF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1876425</xdr:colOff>
      <xdr:row>29</xdr:row>
      <xdr:rowOff>28575</xdr:rowOff>
    </xdr:from>
    <xdr:to>
      <xdr:col>19</xdr:col>
      <xdr:colOff>2708870</xdr:colOff>
      <xdr:row>65</xdr:row>
      <xdr:rowOff>89070</xdr:rowOff>
    </xdr:to>
    <xdr:pic>
      <xdr:nvPicPr>
        <xdr:cNvPr id="2" name="Picture 1">
          <a:extLst>
            <a:ext uri="{FF2B5EF4-FFF2-40B4-BE49-F238E27FC236}">
              <a16:creationId xmlns:a16="http://schemas.microsoft.com/office/drawing/2014/main" id="{3881E78A-CA91-B04C-EAC7-E1C1412F0657}"/>
            </a:ext>
          </a:extLst>
        </xdr:cNvPr>
        <xdr:cNvPicPr>
          <a:picLocks noChangeAspect="1"/>
        </xdr:cNvPicPr>
      </xdr:nvPicPr>
      <xdr:blipFill>
        <a:blip xmlns:r="http://schemas.openxmlformats.org/officeDocument/2006/relationships" r:embed="rId1"/>
        <a:stretch>
          <a:fillRect/>
        </a:stretch>
      </xdr:blipFill>
      <xdr:spPr>
        <a:xfrm>
          <a:off x="18307050" y="5314950"/>
          <a:ext cx="6928445" cy="6578412"/>
        </a:xfrm>
        <a:prstGeom prst="rect">
          <a:avLst/>
        </a:prstGeom>
      </xdr:spPr>
    </xdr:pic>
    <xdr:clientData/>
  </xdr:twoCellAnchor>
</xdr:wsDr>
</file>

<file path=xl/persons/person.xml><?xml version="1.0" encoding="utf-8"?>
<x18tc:personList xmlns:x18tc="http://schemas.microsoft.com/office/spreadsheetml/2018/threadedcomment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C0F529-B310-459E-964A-CBB92EE53FE1}" autoFormatId="16" applyNumberFormats="0" applyBorderFormats="0" applyFontFormats="0" applyPatternFormats="0" applyAlignmentFormats="0" applyWidthHeightFormats="0">
  <queryTableRefresh nextId="9">
    <queryTableFields count="8">
      <queryTableField id="1" name="Category.1" tableColumnId="1"/>
      <queryTableField id="2" name="Category.2" tableColumnId="2"/>
      <queryTableField id="3" name="User_query" tableColumnId="3"/>
      <queryTableField id="4" name="ชุด" tableColumnId="4"/>
      <queryTableField id="5" name="ประเภท" tableColumnId="5"/>
      <queryTableField id="6" name="สุ่ม" tableColumnId="6"/>
      <queryTableField id="7" name="Chatbot_Response" tableColumnId="7"/>
      <queryTableField id="8" name="Correct_Answe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801F780-C6DC-4A73-94F1-16CD9FD34DA2}" autoFormatId="16" applyNumberFormats="0" applyBorderFormats="0" applyFontFormats="0" applyPatternFormats="0" applyAlignmentFormats="0" applyWidthHeightFormats="0">
  <queryTableRefresh nextId="8">
    <queryTableFields count="7">
      <queryTableField id="1" name="Category.1" tableColumnId="1"/>
      <queryTableField id="2" name="Category.2" tableColumnId="2"/>
      <queryTableField id="3" name="User_query" tableColumnId="3"/>
      <queryTableField id="4" name="ชุด" tableColumnId="4"/>
      <queryTableField id="5" name="ประเภท" tableColumnId="5"/>
      <queryTableField id="6" name="Chatbot_Response" tableColumnId="6"/>
      <queryTableField id="7" name="Correct_Answer"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6B217120-3958-4541-B771-6BF00D8B8CFC}" autoFormatId="16" applyNumberFormats="0" applyBorderFormats="0" applyFontFormats="0" applyPatternFormats="0" applyAlignmentFormats="0" applyWidthHeightFormats="0">
  <queryTableRefresh nextId="8">
    <queryTableFields count="7">
      <queryTableField id="1" name="Category.1" tableColumnId="1"/>
      <queryTableField id="2" name="Category.2" tableColumnId="2"/>
      <queryTableField id="3" name="User_query" tableColumnId="3"/>
      <queryTableField id="4" name="ชุด" tableColumnId="4"/>
      <queryTableField id="5" name="ประเภท" tableColumnId="5"/>
      <queryTableField id="6" name="Chatbot_Response" tableColumnId="6"/>
      <queryTableField id="7" name="Correct_Answer"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0EE931CA-C032-45E7-81A5-A982A28E3166}" autoFormatId="16" applyNumberFormats="0" applyBorderFormats="0" applyFontFormats="0" applyPatternFormats="0" applyAlignmentFormats="0" applyWidthHeightFormats="0">
  <queryTableRefresh nextId="8">
    <queryTableFields count="7">
      <queryTableField id="1" name="Category.1" tableColumnId="1"/>
      <queryTableField id="2" name="Category.2" tableColumnId="2"/>
      <queryTableField id="3" name="User_query" tableColumnId="3"/>
      <queryTableField id="4" name="ชุด" tableColumnId="4"/>
      <queryTableField id="5" name="ประเภท" tableColumnId="5"/>
      <queryTableField id="6" name="Chatbot_Response" tableColumnId="6"/>
      <queryTableField id="7" name="Correct_Answer"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F82EC7-3BE5-4ED0-B331-CF4DF79B71A0}" name="Table1_2" displayName="Table1_2" ref="A1:H40" tableType="queryTable" totalsRowShown="0">
  <autoFilter ref="A1:H40" xr:uid="{A4F82EC7-3BE5-4ED0-B331-CF4DF79B71A0}">
    <filterColumn colId="4">
      <filters>
        <filter val="0"/>
      </filters>
    </filterColumn>
    <filterColumn colId="7">
      <filters>
        <filter val="0"/>
      </filters>
    </filterColumn>
  </autoFilter>
  <tableColumns count="8">
    <tableColumn id="1" xr3:uid="{F432275B-B17D-47EA-8414-8CD84BB13CBF}" uniqueName="1" name="Category.1" queryTableFieldId="1" dataDxfId="38"/>
    <tableColumn id="2" xr3:uid="{4F187853-D49B-462B-8E25-A49513A18185}" uniqueName="2" name="Category.2" queryTableFieldId="2" dataDxfId="37"/>
    <tableColumn id="3" xr3:uid="{CEE0280F-A989-42FA-BF1B-16A01CAA8393}" uniqueName="3" name="User_query" queryTableFieldId="3" dataDxfId="36"/>
    <tableColumn id="4" xr3:uid="{088AC52C-C7B7-4FBD-8465-7EE8CF0A0CB2}" uniqueName="4" name="ชุด" queryTableFieldId="4"/>
    <tableColumn id="5" xr3:uid="{70E03C32-3300-4A70-A096-92C4DCFCBE91}" uniqueName="5" name="ประเภท" queryTableFieldId="5"/>
    <tableColumn id="6" xr3:uid="{586A3065-5BDC-499F-8A1B-9996EFFF1D1A}" uniqueName="6" name="สุ่ม" queryTableFieldId="6"/>
    <tableColumn id="7" xr3:uid="{53124B03-0FCF-4FF8-ACBD-4B38EAD8C14B}" uniqueName="7" name="Chatbot_Response" queryTableFieldId="7" dataDxfId="35"/>
    <tableColumn id="8" xr3:uid="{6EF14DC9-F4C6-4CA4-9C3A-36C8021B25C2}" uniqueName="8" name="Correct_Answer"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3D20F1-14CC-41B6-8C64-9834F35E3EEF}" name="Table3_2" displayName="Table3_2" ref="A1:G39" tableType="queryTable" totalsRowShown="0">
  <autoFilter ref="A1:G39" xr:uid="{173D20F1-14CC-41B6-8C64-9834F35E3EEF}">
    <filterColumn colId="4">
      <filters>
        <filter val="1"/>
      </filters>
    </filterColumn>
  </autoFilter>
  <tableColumns count="7">
    <tableColumn id="1" xr3:uid="{158A9D90-9496-4E32-84DF-A23707E8D6F0}" uniqueName="1" name="Category.1" queryTableFieldId="1"/>
    <tableColumn id="2" xr3:uid="{EEFDEEBA-F292-4E20-B1F9-39DD509E837B}" uniqueName="2" name="Category.2" queryTableFieldId="2" dataDxfId="28"/>
    <tableColumn id="3" xr3:uid="{F8C9A769-09D9-4C65-8F80-03D8F2DDDF1F}" uniqueName="3" name="User_query" queryTableFieldId="3" dataDxfId="27"/>
    <tableColumn id="4" xr3:uid="{501DD255-ACA4-4D82-B5C9-D644BC8534E6}" uniqueName="4" name="ชุด" queryTableFieldId="4"/>
    <tableColumn id="5" xr3:uid="{2F06F774-0A19-447A-BAAD-DB640FC5F604}" uniqueName="5" name="ประเภท" queryTableFieldId="5"/>
    <tableColumn id="6" xr3:uid="{1206862C-3A5A-4986-8093-B90AE4F63EEC}" uniqueName="6" name="Chatbot_Response" queryTableFieldId="6" dataDxfId="26"/>
    <tableColumn id="7" xr3:uid="{14B3E9D8-0B69-4487-9784-0145A43A1D72}" uniqueName="7" name="Correct_Answer"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EDAE75-B492-4F30-80D5-494BD3C713A0}" name="Table1" displayName="Table1" ref="A1:G40" totalsRowShown="0">
  <autoFilter ref="A1:G40" xr:uid="{388C17CB-9B99-4642-A289-93E72C4F1C34}">
    <filterColumn colId="3">
      <filters>
        <filter val="0"/>
      </filters>
    </filterColumn>
  </autoFilter>
  <tableColumns count="7">
    <tableColumn id="1" xr3:uid="{1627F245-0D97-4AE9-9F98-05D60F5C0374}" name="Category" dataDxfId="44"/>
    <tableColumn id="2" xr3:uid="{16C8A66B-8291-48ED-AC4F-C077F4D1F267}" name="User_query" dataDxfId="43"/>
    <tableColumn id="3" xr3:uid="{374BD5B3-B35D-4466-ACA7-F583F397E5A6}" name="ชุด" dataDxfId="42"/>
    <tableColumn id="4" xr3:uid="{F04F72FB-5408-42A5-A895-0AA26EC08BF9}" name="ประเภท" dataDxfId="41"/>
    <tableColumn id="5" xr3:uid="{E777B2B9-5711-41D0-99D9-4936B384B377}" name="สุ่ม">
      <calculatedColumnFormula>RAND()</calculatedColumnFormula>
    </tableColumn>
    <tableColumn id="6" xr3:uid="{824536EB-23D8-4447-8815-64624BE030B7}" name="Chatbot_Response" dataDxfId="40"/>
    <tableColumn id="7" xr3:uid="{EA82FA28-7552-4724-B3B2-36842A339024}" name="Correct_Answer" dataDxf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9F2184-54E3-4113-B8CE-2923295C82CB}" name="Table3" displayName="Table3" ref="A1:F39" totalsRowShown="0" headerRowDxfId="29">
  <autoFilter ref="A1:F39" xr:uid="{3B613F12-B182-4271-B1E8-0068798B0102}">
    <filterColumn colId="3">
      <filters>
        <filter val="0"/>
      </filters>
    </filterColumn>
    <filterColumn colId="5">
      <filters>
        <filter val="2"/>
      </filters>
    </filterColumn>
  </autoFilter>
  <tableColumns count="6">
    <tableColumn id="1" xr3:uid="{96819C11-B27B-4772-AA05-33FCEC166FB8}" name="Category"/>
    <tableColumn id="2" xr3:uid="{F7FE1718-C3AC-43E3-A8C2-349C8B238BE6}" name="User_query" dataDxfId="34"/>
    <tableColumn id="3" xr3:uid="{6EC23DC0-3C1A-465D-8EF0-B2517480643C}" name="ชุด" dataDxfId="33"/>
    <tableColumn id="4" xr3:uid="{37D57219-2DB6-4ACA-8946-4429EAD73627}" name="ประเภท" dataDxfId="32"/>
    <tableColumn id="5" xr3:uid="{3EBB7569-2F10-4D3B-A97C-54BA5A104F77}" name="Chatbot_Response" dataDxfId="31"/>
    <tableColumn id="6" xr3:uid="{C0ECC5F9-F8A6-4689-894E-80E91014717A}" name="Correct_Answer" dataDxfId="3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30BBD5-93B2-45A0-B12B-BF2C8FCEB586}" name="Table5" displayName="Table5" ref="A1:F38" totalsRowShown="0" headerRowDxfId="19">
  <autoFilter ref="A1:F38" xr:uid="{2117D254-4040-447C-9BDC-ACA9A25025B9}">
    <filterColumn colId="3">
      <filters>
        <filter val="1"/>
      </filters>
    </filterColumn>
  </autoFilter>
  <tableColumns count="6">
    <tableColumn id="1" xr3:uid="{F65BE041-AC60-4F68-B9AB-2A7C191D69D9}" name="Category" dataDxfId="25"/>
    <tableColumn id="2" xr3:uid="{CA48688F-D8C4-4A23-8839-80EF460B9A34}" name="User_query" dataDxfId="24"/>
    <tableColumn id="3" xr3:uid="{A78F1291-4A3F-4D25-9C62-9E32386F5463}" name="ชุด" dataDxfId="23"/>
    <tableColumn id="4" xr3:uid="{4D926298-59CC-4A3D-812A-976CE8FEEA6D}" name="ประเภท" dataDxfId="22"/>
    <tableColumn id="5" xr3:uid="{EB556D3F-9FA4-4B16-B719-BF3A41D48F52}" name="Chatbot_Response" dataDxfId="21"/>
    <tableColumn id="6" xr3:uid="{51AE9573-CCB8-4A0D-85C6-840D8ACD6786}" name="Correct_Answer"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B5B30A-6DC0-4C0B-9244-75F391384E40}" name="Table6_2" displayName="Table6_2" ref="A1:G37" tableType="queryTable" totalsRowShown="0">
  <autoFilter ref="A1:G37" xr:uid="{11B5B30A-6DC0-4C0B-9244-75F391384E40}">
    <filterColumn colId="4">
      <filters>
        <filter val="1"/>
      </filters>
    </filterColumn>
  </autoFilter>
  <tableColumns count="7">
    <tableColumn id="1" xr3:uid="{AE19B591-1E90-44A6-A2B9-79FD665B56C6}" uniqueName="1" name="Category.1" queryTableFieldId="1"/>
    <tableColumn id="2" xr3:uid="{8749FBC5-B5FB-4FB1-8F3E-A3DF63765CDD}" uniqueName="2" name="Category.2" queryTableFieldId="2" dataDxfId="11"/>
    <tableColumn id="3" xr3:uid="{11052D34-BC5A-452B-BB58-241BB114DD41}" uniqueName="3" name="User_query" queryTableFieldId="3" dataDxfId="10"/>
    <tableColumn id="4" xr3:uid="{C273BDB9-0FEB-4859-A90B-D3EC279B83F3}" uniqueName="4" name="ชุด" queryTableFieldId="4"/>
    <tableColumn id="5" xr3:uid="{45D40738-10B8-442C-A47C-CEBC1AD20B3C}" uniqueName="5" name="ประเภท" queryTableFieldId="5"/>
    <tableColumn id="6" xr3:uid="{354D887E-109C-4A9A-B955-59930469E2E9}" uniqueName="6" name="Chatbot_Response" queryTableFieldId="6" dataDxfId="9"/>
    <tableColumn id="7" xr3:uid="{7F0C1740-D972-469D-9B3B-A0FD14B5D2BA}" uniqueName="7" name="Correct_Answer" queryTableField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E737B6-8446-4599-A9AD-ECF7EEA0A9E6}" name="Table6" displayName="Table6" ref="A1:F37" totalsRowShown="0" headerRowDxfId="12">
  <autoFilter ref="A1:F37" xr:uid="{7F362BC3-64B6-401D-9D3E-1329F0A74CCD}">
    <filterColumn colId="3">
      <filters>
        <filter val="0"/>
      </filters>
    </filterColumn>
  </autoFilter>
  <tableColumns count="6">
    <tableColumn id="1" xr3:uid="{CFB644D8-B581-43D4-A5B8-5DCCFCFD1CBE}" name="Category" dataDxfId="18"/>
    <tableColumn id="2" xr3:uid="{49988724-F768-462F-AE5B-A7A771F22C1F}" name="User_query" dataDxfId="17"/>
    <tableColumn id="3" xr3:uid="{EA967958-6181-4F08-8C1B-3E31F3863AF1}" name="ชุด" dataDxfId="16"/>
    <tableColumn id="4" xr3:uid="{AF72577D-DBBC-4ED6-8FCC-EB5128777367}" name="ประเภท" dataDxfId="15"/>
    <tableColumn id="5" xr3:uid="{BD0A6D3F-5D92-41F2-A6A7-6879605698AC}" name="Chatbot_Response" dataDxfId="14"/>
    <tableColumn id="6" xr3:uid="{686DE5E3-278C-496A-9FCC-FBE34754DAB0}" name="Correct_Answer" dataDxfId="1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B0C486-6CE9-46B3-8D10-6B283300FA02}" name="Table8_2" displayName="Table8_2" ref="A1:G37" tableType="queryTable" totalsRowShown="0">
  <autoFilter ref="A1:G37" xr:uid="{10B0C486-6CE9-46B3-8D10-6B283300FA02}">
    <filterColumn colId="4">
      <filters>
        <filter val="1"/>
      </filters>
    </filterColumn>
  </autoFilter>
  <tableColumns count="7">
    <tableColumn id="1" xr3:uid="{CD5F2839-9D95-440E-A87B-44562101965D}" uniqueName="1" name="Category.1" queryTableFieldId="1"/>
    <tableColumn id="2" xr3:uid="{B46F5CB8-203E-4B69-B356-82C5D15CCBA5}" uniqueName="2" name="Category.2" queryTableFieldId="2" dataDxfId="2"/>
    <tableColumn id="3" xr3:uid="{6175D5F2-3180-4CC8-A88D-5434E326AFF0}" uniqueName="3" name="User_query" queryTableFieldId="3" dataDxfId="1"/>
    <tableColumn id="4" xr3:uid="{8453410D-9BE4-417B-BC45-BA87BA1AB15E}" uniqueName="4" name="ชุด" queryTableFieldId="4"/>
    <tableColumn id="5" xr3:uid="{CCDE08B5-E47E-49CA-AF33-131D4A2CEFD8}" uniqueName="5" name="ประเภท" queryTableFieldId="5"/>
    <tableColumn id="6" xr3:uid="{DA6219CC-A6D8-4D6D-AAE2-2EF6A595C773}" uniqueName="6" name="Chatbot_Response" queryTableFieldId="6" dataDxfId="0"/>
    <tableColumn id="7" xr3:uid="{8E5D6C63-25B5-4325-AD54-E2CA11AE9C51}" uniqueName="7" name="Correct_Answer" queryTableFieldId="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95C829-C4C1-4A23-9E04-20A96AF4DB0C}" name="Table8" displayName="Table8" ref="A1:F37" totalsRowShown="0" headerRowDxfId="3">
  <autoFilter ref="A1:F37" xr:uid="{177F2D51-D6B4-4607-AB98-D6196D394E88}">
    <filterColumn colId="3">
      <filters>
        <filter val="0"/>
      </filters>
    </filterColumn>
  </autoFilter>
  <tableColumns count="6">
    <tableColumn id="1" xr3:uid="{15A045A1-58C0-4CBE-95ED-79D8E78A64A5}" name="Category" dataDxfId="8"/>
    <tableColumn id="2" xr3:uid="{2397928D-5675-43DC-B981-D43C2E92545B}" name="User_query" dataDxfId="7"/>
    <tableColumn id="3" xr3:uid="{A098A6B1-6849-4BB6-A4D3-9EF2E4AA6344}" name="ชุด" dataDxfId="6"/>
    <tableColumn id="4" xr3:uid="{0E75D54C-8206-4E69-9C57-E33BA7A478FA}" name="ประเภท" dataDxfId="5"/>
    <tableColumn id="5" xr3:uid="{AA69A696-9395-4ED0-B105-C595C6DE45A1}" name="Chatbot_Response"/>
    <tableColumn id="6" xr3:uid="{D96E8420-E99C-42B3-A74E-F7AE22A0C9DC}" name="Correct_Answer"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B7543-4E57-4CBC-A1C0-86DF9B1F0292}">
  <sheetPr>
    <outlinePr summaryBelow="0" summaryRight="0"/>
  </sheetPr>
  <dimension ref="A1:L977"/>
  <sheetViews>
    <sheetView zoomScale="85" zoomScaleNormal="85" workbookViewId="0">
      <selection activeCell="F45" sqref="F45"/>
    </sheetView>
  </sheetViews>
  <sheetFormatPr defaultColWidth="12.6640625" defaultRowHeight="15.75" customHeight="1"/>
  <cols>
    <col min="2" max="2" width="4.44140625" customWidth="1"/>
    <col min="3" max="3" width="5.44140625" customWidth="1"/>
    <col min="4" max="4" width="7.6640625" customWidth="1"/>
    <col min="5" max="5" width="9.109375" customWidth="1"/>
    <col min="6" max="6" width="38.44140625" customWidth="1"/>
    <col min="7" max="7" width="48.6640625" customWidth="1"/>
    <col min="8" max="8" width="29.44140625" hidden="1" customWidth="1"/>
    <col min="9" max="9" width="19.44140625" hidden="1" customWidth="1"/>
    <col min="10" max="10" width="17.77734375" hidden="1" customWidth="1"/>
    <col min="11" max="11" width="80.88671875" customWidth="1"/>
    <col min="12" max="12" width="15.33203125" bestFit="1" customWidth="1"/>
    <col min="13" max="13" width="15.109375" customWidth="1"/>
  </cols>
  <sheetData>
    <row r="1" spans="1:12" ht="13.2">
      <c r="A1" s="17" t="s">
        <v>898</v>
      </c>
      <c r="B1" s="53" t="s">
        <v>0</v>
      </c>
      <c r="C1" s="53"/>
      <c r="D1" s="53"/>
      <c r="E1" s="53"/>
      <c r="F1" s="53"/>
      <c r="G1" s="1" t="s">
        <v>1</v>
      </c>
      <c r="H1" s="23" t="s">
        <v>896</v>
      </c>
      <c r="I1" s="23" t="s">
        <v>894</v>
      </c>
      <c r="J1" s="23" t="s">
        <v>897</v>
      </c>
      <c r="K1" s="2" t="s">
        <v>2</v>
      </c>
      <c r="L1" s="10" t="s">
        <v>707</v>
      </c>
    </row>
    <row r="2" spans="1:12" ht="13.2">
      <c r="A2" s="3"/>
      <c r="B2" s="3">
        <v>1.1000000000000001</v>
      </c>
      <c r="C2" s="4" t="s">
        <v>4</v>
      </c>
      <c r="G2" s="4" t="s">
        <v>893</v>
      </c>
      <c r="H2" s="3">
        <v>1</v>
      </c>
      <c r="I2" s="3">
        <v>0</v>
      </c>
      <c r="J2" s="3">
        <f t="shared" ref="J2:J33" ca="1" si="0">RAND()</f>
        <v>0.51702213255702822</v>
      </c>
    </row>
    <row r="3" spans="1:12" ht="13.2">
      <c r="A3" s="3"/>
      <c r="B3" s="3"/>
      <c r="C3" s="4" t="s">
        <v>205</v>
      </c>
      <c r="D3" s="4" t="s">
        <v>206</v>
      </c>
      <c r="G3" s="4" t="s">
        <v>762</v>
      </c>
      <c r="H3" s="3">
        <v>1</v>
      </c>
      <c r="I3" s="3">
        <v>0</v>
      </c>
      <c r="J3" s="3">
        <f t="shared" ca="1" si="0"/>
        <v>0.41495641010448969</v>
      </c>
    </row>
    <row r="4" spans="1:12" ht="13.2">
      <c r="A4" s="3"/>
      <c r="B4" s="3"/>
      <c r="C4" s="4" t="s">
        <v>524</v>
      </c>
      <c r="D4" s="5" t="s">
        <v>525</v>
      </c>
      <c r="G4" s="4" t="s">
        <v>836</v>
      </c>
      <c r="H4" s="3">
        <v>1</v>
      </c>
      <c r="I4" s="3">
        <v>0</v>
      </c>
      <c r="J4" s="3">
        <f t="shared" ca="1" si="0"/>
        <v>0.89890129084827519</v>
      </c>
    </row>
    <row r="5" spans="1:12" ht="13.2">
      <c r="A5" s="3"/>
      <c r="B5" s="3"/>
      <c r="C5" s="4"/>
      <c r="D5" s="3" t="s">
        <v>19</v>
      </c>
      <c r="E5" s="4" t="s">
        <v>20</v>
      </c>
      <c r="G5" s="4" t="s">
        <v>718</v>
      </c>
      <c r="H5" s="3">
        <v>1</v>
      </c>
      <c r="I5" s="3">
        <v>0</v>
      </c>
      <c r="J5" s="3">
        <f t="shared" ca="1" si="0"/>
        <v>0.24263561947956602</v>
      </c>
    </row>
    <row r="6" spans="1:12" ht="13.2">
      <c r="A6" s="3"/>
      <c r="B6" s="3"/>
      <c r="D6" s="3"/>
      <c r="E6" s="3" t="s">
        <v>295</v>
      </c>
      <c r="F6" s="4" t="s">
        <v>296</v>
      </c>
      <c r="G6" s="4" t="s">
        <v>785</v>
      </c>
      <c r="H6" s="3">
        <v>1</v>
      </c>
      <c r="I6" s="3">
        <v>0</v>
      </c>
      <c r="J6" s="3">
        <f t="shared" ca="1" si="0"/>
        <v>0.75707812139243469</v>
      </c>
    </row>
    <row r="7" spans="1:12" ht="13.2">
      <c r="A7" s="3"/>
      <c r="B7" s="3"/>
      <c r="D7" s="3" t="s">
        <v>55</v>
      </c>
      <c r="E7" s="4" t="s">
        <v>56</v>
      </c>
      <c r="G7" s="4" t="s">
        <v>728</v>
      </c>
      <c r="H7" s="3">
        <v>1</v>
      </c>
      <c r="I7" s="3">
        <v>0</v>
      </c>
      <c r="J7" s="3">
        <f t="shared" ca="1" si="0"/>
        <v>0.30250718007462762</v>
      </c>
    </row>
    <row r="8" spans="1:12" ht="13.2">
      <c r="A8" s="3"/>
      <c r="B8" s="3"/>
      <c r="D8" s="3" t="s">
        <v>72</v>
      </c>
      <c r="E8" s="4" t="s">
        <v>73</v>
      </c>
      <c r="G8" s="4" t="s">
        <v>74</v>
      </c>
      <c r="H8" s="3">
        <v>1</v>
      </c>
      <c r="I8" s="3">
        <v>0</v>
      </c>
      <c r="J8" s="3">
        <f t="shared" ca="1" si="0"/>
        <v>0.1472308311253665</v>
      </c>
    </row>
    <row r="9" spans="1:12" ht="13.2">
      <c r="A9" s="3"/>
      <c r="B9" s="3"/>
      <c r="D9" s="3" t="s">
        <v>220</v>
      </c>
      <c r="E9" s="5" t="s">
        <v>221</v>
      </c>
      <c r="G9" s="4" t="s">
        <v>766</v>
      </c>
      <c r="H9" s="3">
        <v>1</v>
      </c>
      <c r="I9" s="3">
        <v>0</v>
      </c>
      <c r="J9" s="3">
        <f t="shared" ca="1" si="0"/>
        <v>0.84954759953456038</v>
      </c>
    </row>
    <row r="10" spans="1:12" ht="13.2">
      <c r="A10" s="3"/>
      <c r="B10" s="3"/>
      <c r="D10" s="3" t="s">
        <v>89</v>
      </c>
      <c r="E10" s="4" t="s">
        <v>90</v>
      </c>
      <c r="G10" s="4" t="s">
        <v>736</v>
      </c>
      <c r="H10" s="3">
        <v>1</v>
      </c>
      <c r="I10" s="3">
        <v>0</v>
      </c>
      <c r="J10" s="3">
        <f t="shared" ca="1" si="0"/>
        <v>0.90218273093227352</v>
      </c>
    </row>
    <row r="11" spans="1:12" ht="13.2">
      <c r="A11" s="3"/>
      <c r="B11" s="3"/>
      <c r="D11" s="3" t="s">
        <v>557</v>
      </c>
      <c r="E11" s="4" t="s">
        <v>558</v>
      </c>
      <c r="G11" s="4" t="s">
        <v>845</v>
      </c>
      <c r="H11" s="3">
        <v>1</v>
      </c>
      <c r="I11" s="3">
        <v>0</v>
      </c>
      <c r="J11" s="3">
        <f t="shared" ca="1" si="0"/>
        <v>0.59716976420313128</v>
      </c>
    </row>
    <row r="12" spans="1:12" ht="13.2">
      <c r="A12" s="3"/>
      <c r="B12" s="3"/>
      <c r="D12" s="3" t="s">
        <v>575</v>
      </c>
      <c r="E12" s="4" t="s">
        <v>576</v>
      </c>
      <c r="G12" s="4" t="s">
        <v>849</v>
      </c>
      <c r="H12" s="3">
        <v>1</v>
      </c>
      <c r="I12" s="3">
        <v>0</v>
      </c>
      <c r="J12" s="3">
        <f t="shared" ca="1" si="0"/>
        <v>0.77928018872004534</v>
      </c>
    </row>
    <row r="13" spans="1:12" ht="13.2">
      <c r="A13" s="3"/>
      <c r="B13" s="3"/>
      <c r="D13" s="3" t="s">
        <v>607</v>
      </c>
      <c r="E13" s="4" t="s">
        <v>608</v>
      </c>
      <c r="G13" s="4" t="s">
        <v>858</v>
      </c>
      <c r="H13" s="3">
        <v>1</v>
      </c>
      <c r="I13" s="3">
        <v>0</v>
      </c>
      <c r="J13" s="3">
        <f t="shared" ca="1" si="0"/>
        <v>0.66015372111311432</v>
      </c>
    </row>
    <row r="14" spans="1:12" ht="13.2">
      <c r="A14" s="3"/>
      <c r="B14" s="3"/>
      <c r="C14" s="4"/>
      <c r="D14" s="3" t="s">
        <v>350</v>
      </c>
      <c r="E14" s="4" t="s">
        <v>351</v>
      </c>
      <c r="G14" s="4" t="s">
        <v>798</v>
      </c>
      <c r="H14" s="3">
        <v>1</v>
      </c>
      <c r="I14" s="3">
        <v>0</v>
      </c>
      <c r="J14" s="3">
        <f t="shared" ca="1" si="0"/>
        <v>0.88816068183517582</v>
      </c>
    </row>
    <row r="15" spans="1:12" ht="13.2">
      <c r="A15" s="3"/>
      <c r="B15" s="3"/>
      <c r="D15" s="3"/>
      <c r="E15" s="3" t="s">
        <v>240</v>
      </c>
      <c r="F15" s="4" t="s">
        <v>241</v>
      </c>
      <c r="G15" s="4" t="s">
        <v>771</v>
      </c>
      <c r="H15" s="3">
        <v>1</v>
      </c>
      <c r="I15" s="3">
        <v>0</v>
      </c>
      <c r="J15" s="3">
        <f t="shared" ca="1" si="0"/>
        <v>0.69504093480131346</v>
      </c>
    </row>
    <row r="16" spans="1:12" ht="13.2">
      <c r="A16" s="3"/>
      <c r="B16" s="3"/>
      <c r="D16" s="3" t="s">
        <v>539</v>
      </c>
      <c r="E16" s="4" t="s">
        <v>540</v>
      </c>
      <c r="G16" s="4" t="s">
        <v>840</v>
      </c>
      <c r="H16" s="3">
        <v>1</v>
      </c>
      <c r="I16" s="3">
        <v>0</v>
      </c>
      <c r="J16" s="3">
        <f t="shared" ca="1" si="0"/>
        <v>0.83183733843785934</v>
      </c>
    </row>
    <row r="17" spans="1:10" ht="13.2">
      <c r="A17" s="3"/>
      <c r="B17" s="3"/>
      <c r="C17" s="3" t="s">
        <v>592</v>
      </c>
      <c r="D17" s="3" t="s">
        <v>593</v>
      </c>
      <c r="G17" s="4" t="s">
        <v>854</v>
      </c>
      <c r="H17" s="3">
        <v>1</v>
      </c>
      <c r="I17" s="3">
        <v>0</v>
      </c>
      <c r="J17" s="3">
        <f t="shared" ca="1" si="0"/>
        <v>0.10881891588335946</v>
      </c>
    </row>
    <row r="18" spans="1:10" ht="13.2">
      <c r="A18" s="3"/>
      <c r="B18" s="3"/>
      <c r="D18" s="3"/>
      <c r="E18" s="4" t="s">
        <v>278</v>
      </c>
      <c r="F18" s="4" t="s">
        <v>279</v>
      </c>
      <c r="G18" s="4" t="s">
        <v>780</v>
      </c>
      <c r="H18" s="3">
        <v>1</v>
      </c>
      <c r="I18" s="3">
        <v>0</v>
      </c>
      <c r="J18" s="3">
        <f t="shared" ca="1" si="0"/>
        <v>0.34490273378898528</v>
      </c>
    </row>
    <row r="19" spans="1:10" ht="13.2">
      <c r="A19" s="3"/>
      <c r="B19" s="3"/>
      <c r="D19" s="3" t="s">
        <v>260</v>
      </c>
      <c r="E19" s="4" t="s">
        <v>261</v>
      </c>
      <c r="G19" s="4" t="s">
        <v>775</v>
      </c>
      <c r="H19" s="3">
        <v>1</v>
      </c>
      <c r="I19" s="3">
        <v>0</v>
      </c>
      <c r="J19" s="3">
        <f t="shared" ca="1" si="0"/>
        <v>9.9075706159138743E-2</v>
      </c>
    </row>
    <row r="20" spans="1:10" ht="13.2">
      <c r="A20" s="3"/>
      <c r="B20" s="3"/>
      <c r="D20" s="3"/>
      <c r="E20" s="3" t="s">
        <v>315</v>
      </c>
      <c r="F20" s="4" t="s">
        <v>316</v>
      </c>
      <c r="G20" s="4" t="s">
        <v>790</v>
      </c>
      <c r="H20" s="3">
        <v>1</v>
      </c>
      <c r="I20" s="3">
        <v>0</v>
      </c>
      <c r="J20" s="3">
        <f t="shared" ca="1" si="0"/>
        <v>0.24910929375380897</v>
      </c>
    </row>
    <row r="21" spans="1:10" ht="13.2">
      <c r="A21" s="3"/>
      <c r="B21" s="3"/>
      <c r="D21" s="3" t="s">
        <v>40</v>
      </c>
      <c r="E21" s="4" t="s">
        <v>41</v>
      </c>
      <c r="G21" s="4" t="s">
        <v>723</v>
      </c>
      <c r="H21" s="3">
        <v>1</v>
      </c>
      <c r="I21" s="3">
        <v>0</v>
      </c>
      <c r="J21" s="3">
        <f t="shared" ca="1" si="0"/>
        <v>0.18284749432964287</v>
      </c>
    </row>
    <row r="22" spans="1:10" ht="13.2">
      <c r="A22" s="3"/>
      <c r="B22" s="3"/>
      <c r="D22" s="3" t="s">
        <v>330</v>
      </c>
      <c r="E22" s="4" t="s">
        <v>331</v>
      </c>
      <c r="G22" s="4" t="s">
        <v>794</v>
      </c>
      <c r="H22" s="3">
        <v>1</v>
      </c>
      <c r="I22" s="3">
        <v>0</v>
      </c>
      <c r="J22" s="3">
        <f t="shared" ca="1" si="0"/>
        <v>7.13255354061193E-4</v>
      </c>
    </row>
    <row r="23" spans="1:10" ht="13.2">
      <c r="A23" s="3"/>
      <c r="D23" s="3" t="s">
        <v>200</v>
      </c>
      <c r="E23" s="4" t="s">
        <v>201</v>
      </c>
      <c r="G23" s="4" t="s">
        <v>761</v>
      </c>
      <c r="H23" s="9">
        <v>1</v>
      </c>
      <c r="I23" s="3">
        <v>1</v>
      </c>
      <c r="J23" s="3">
        <f t="shared" ca="1" si="0"/>
        <v>0.9887876517537928</v>
      </c>
    </row>
    <row r="24" spans="1:10" ht="13.2">
      <c r="A24" s="3"/>
      <c r="D24" s="3" t="s">
        <v>661</v>
      </c>
      <c r="E24" s="4" t="s">
        <v>662</v>
      </c>
      <c r="G24" s="4" t="s">
        <v>873</v>
      </c>
      <c r="H24" s="3">
        <v>1</v>
      </c>
      <c r="I24" s="3">
        <v>1</v>
      </c>
      <c r="J24" s="3">
        <f t="shared" ca="1" si="0"/>
        <v>0.29660942384718636</v>
      </c>
    </row>
    <row r="25" spans="1:10" ht="13.2">
      <c r="A25" s="3"/>
      <c r="B25" s="3"/>
      <c r="C25" s="4"/>
      <c r="D25" s="3" t="s">
        <v>426</v>
      </c>
      <c r="E25" s="4" t="s">
        <v>427</v>
      </c>
      <c r="G25" s="4" t="s">
        <v>814</v>
      </c>
      <c r="H25" s="3">
        <v>1</v>
      </c>
      <c r="I25" s="3">
        <v>1</v>
      </c>
      <c r="J25" s="3">
        <f t="shared" ca="1" si="0"/>
        <v>0.70015871305261568</v>
      </c>
    </row>
    <row r="26" spans="1:10" ht="13.2">
      <c r="A26" s="3"/>
      <c r="B26" s="3"/>
      <c r="D26" s="3"/>
      <c r="E26" s="3" t="s">
        <v>446</v>
      </c>
      <c r="F26" s="4" t="s">
        <v>447</v>
      </c>
      <c r="G26" s="4" t="s">
        <v>818</v>
      </c>
      <c r="H26" s="3">
        <v>1</v>
      </c>
      <c r="I26" s="3">
        <v>1</v>
      </c>
      <c r="J26" s="3">
        <f t="shared" ca="1" si="0"/>
        <v>0.38056166220957888</v>
      </c>
    </row>
    <row r="27" spans="1:10" ht="13.2">
      <c r="A27" s="3"/>
      <c r="B27" s="3"/>
      <c r="D27" s="3" t="s">
        <v>130</v>
      </c>
      <c r="E27" s="4" t="s">
        <v>131</v>
      </c>
      <c r="G27" s="4" t="s">
        <v>746</v>
      </c>
      <c r="H27" s="9">
        <v>1</v>
      </c>
      <c r="I27" s="3">
        <v>1</v>
      </c>
      <c r="J27" s="3">
        <f t="shared" ca="1" si="0"/>
        <v>0.84436726559139796</v>
      </c>
    </row>
    <row r="28" spans="1:10" ht="13.2">
      <c r="A28" s="3"/>
      <c r="D28" s="3" t="s">
        <v>680</v>
      </c>
      <c r="E28" s="4" t="s">
        <v>681</v>
      </c>
      <c r="G28" s="4" t="s">
        <v>878</v>
      </c>
      <c r="H28" s="3">
        <v>1</v>
      </c>
      <c r="I28" s="3">
        <v>1</v>
      </c>
      <c r="J28" s="3">
        <f t="shared" ca="1" si="0"/>
        <v>0.39495193848549193</v>
      </c>
    </row>
    <row r="29" spans="1:10" ht="13.2">
      <c r="A29" s="3"/>
      <c r="D29" s="3" t="s">
        <v>701</v>
      </c>
      <c r="E29" s="4" t="s">
        <v>702</v>
      </c>
      <c r="G29" s="4" t="s">
        <v>883</v>
      </c>
      <c r="H29" s="3">
        <v>1</v>
      </c>
      <c r="I29" s="3">
        <v>1</v>
      </c>
      <c r="J29" s="3">
        <f t="shared" ca="1" si="0"/>
        <v>0.8832556173840953</v>
      </c>
    </row>
    <row r="30" spans="1:10" ht="13.2">
      <c r="A30" s="3"/>
      <c r="D30" s="3" t="s">
        <v>154</v>
      </c>
      <c r="E30" s="4" t="s">
        <v>155</v>
      </c>
      <c r="G30" s="4" t="s">
        <v>751</v>
      </c>
      <c r="H30" s="9">
        <v>1</v>
      </c>
      <c r="I30" s="3">
        <v>1</v>
      </c>
      <c r="J30" s="3">
        <f t="shared" ca="1" si="0"/>
        <v>0.76623558454831908</v>
      </c>
    </row>
    <row r="31" spans="1:10" ht="13.2">
      <c r="A31" s="3"/>
      <c r="B31" s="3"/>
      <c r="C31" s="4"/>
      <c r="D31" s="3" t="s">
        <v>388</v>
      </c>
      <c r="E31" s="4" t="s">
        <v>389</v>
      </c>
      <c r="G31" s="4" t="s">
        <v>805</v>
      </c>
      <c r="H31" s="3">
        <v>1</v>
      </c>
      <c r="I31" s="3">
        <v>1</v>
      </c>
      <c r="J31" s="3">
        <f t="shared" ca="1" si="0"/>
        <v>0.85499881405331579</v>
      </c>
    </row>
    <row r="32" spans="1:10" ht="13.2">
      <c r="A32" s="3"/>
      <c r="D32" s="3" t="s">
        <v>175</v>
      </c>
      <c r="E32" s="4" t="s">
        <v>176</v>
      </c>
      <c r="G32" s="4" t="s">
        <v>756</v>
      </c>
      <c r="H32" s="9">
        <v>1</v>
      </c>
      <c r="I32" s="3">
        <v>1</v>
      </c>
      <c r="J32" s="3">
        <f t="shared" ca="1" si="0"/>
        <v>0.33486327238444058</v>
      </c>
    </row>
    <row r="33" spans="1:10" ht="13.2">
      <c r="A33" s="3"/>
      <c r="B33" s="3"/>
      <c r="C33" s="4"/>
      <c r="D33" s="3"/>
      <c r="E33" s="3" t="s">
        <v>371</v>
      </c>
      <c r="F33" s="4" t="s">
        <v>372</v>
      </c>
      <c r="G33" s="4" t="s">
        <v>801</v>
      </c>
      <c r="H33" s="3">
        <v>1</v>
      </c>
      <c r="I33" s="3">
        <v>1</v>
      </c>
      <c r="J33" s="3">
        <f t="shared" ca="1" si="0"/>
        <v>0.92062633094491553</v>
      </c>
    </row>
    <row r="34" spans="1:10" ht="13.2">
      <c r="A34" s="3"/>
      <c r="B34" s="3"/>
      <c r="C34" s="4"/>
      <c r="D34" s="3" t="s">
        <v>408</v>
      </c>
      <c r="E34" s="4" t="s">
        <v>409</v>
      </c>
      <c r="G34" s="4" t="s">
        <v>810</v>
      </c>
      <c r="H34" s="3">
        <v>1</v>
      </c>
      <c r="I34" s="3">
        <v>1</v>
      </c>
      <c r="J34" s="3">
        <f t="shared" ref="J34:J65" ca="1" si="1">RAND()</f>
        <v>0.40473426145793945</v>
      </c>
    </row>
    <row r="35" spans="1:10" ht="13.2">
      <c r="A35" s="3"/>
      <c r="B35" s="3"/>
      <c r="D35" s="3" t="s">
        <v>108</v>
      </c>
      <c r="E35" s="4" t="s">
        <v>109</v>
      </c>
      <c r="G35" s="4" t="s">
        <v>741</v>
      </c>
      <c r="H35" s="3">
        <v>1</v>
      </c>
      <c r="I35" s="3">
        <v>1</v>
      </c>
      <c r="J35" s="3">
        <f t="shared" ca="1" si="1"/>
        <v>0.87809990918741154</v>
      </c>
    </row>
    <row r="36" spans="1:10" ht="13.2">
      <c r="A36" s="3"/>
      <c r="B36" s="3"/>
      <c r="D36" s="3" t="s">
        <v>473</v>
      </c>
      <c r="E36" s="4" t="s">
        <v>474</v>
      </c>
      <c r="G36" s="4" t="s">
        <v>823</v>
      </c>
      <c r="H36" s="3">
        <v>1</v>
      </c>
      <c r="I36" s="3">
        <v>1</v>
      </c>
      <c r="J36" s="3">
        <f t="shared" ca="1" si="1"/>
        <v>0.15423643266481857</v>
      </c>
    </row>
    <row r="37" spans="1:10" ht="13.2">
      <c r="A37" s="3"/>
      <c r="C37" s="4" t="s">
        <v>643</v>
      </c>
      <c r="D37" s="4" t="s">
        <v>644</v>
      </c>
      <c r="G37" s="4" t="s">
        <v>868</v>
      </c>
      <c r="H37" s="3">
        <v>1</v>
      </c>
      <c r="I37" s="3">
        <v>1</v>
      </c>
      <c r="J37" s="3">
        <f t="shared" ca="1" si="1"/>
        <v>0.64813944382263167</v>
      </c>
    </row>
    <row r="38" spans="1:10" ht="13.2">
      <c r="A38" s="3"/>
      <c r="B38" s="3"/>
      <c r="D38" s="3" t="s">
        <v>497</v>
      </c>
      <c r="E38" s="5" t="s">
        <v>498</v>
      </c>
      <c r="G38" s="4" t="s">
        <v>828</v>
      </c>
      <c r="H38" s="3">
        <v>1</v>
      </c>
      <c r="I38" s="3">
        <v>1</v>
      </c>
      <c r="J38" s="3">
        <f t="shared" ca="1" si="1"/>
        <v>0.64943741422193746</v>
      </c>
    </row>
    <row r="39" spans="1:10" ht="13.2">
      <c r="A39" s="3"/>
      <c r="B39" s="3"/>
      <c r="D39" s="3" t="s">
        <v>512</v>
      </c>
      <c r="E39" s="5" t="s">
        <v>513</v>
      </c>
      <c r="G39" s="4" t="s">
        <v>833</v>
      </c>
      <c r="H39" s="3">
        <v>1</v>
      </c>
      <c r="I39" s="3">
        <v>1</v>
      </c>
      <c r="J39" s="3">
        <f t="shared" ca="1" si="1"/>
        <v>0.57460171473250166</v>
      </c>
    </row>
    <row r="40" spans="1:10" ht="13.2">
      <c r="A40" s="3"/>
      <c r="B40" s="3"/>
      <c r="C40" s="4" t="s">
        <v>624</v>
      </c>
      <c r="D40" s="4" t="s">
        <v>625</v>
      </c>
      <c r="G40" s="4" t="s">
        <v>862</v>
      </c>
      <c r="H40" s="3">
        <v>1</v>
      </c>
      <c r="I40" s="3">
        <v>1</v>
      </c>
      <c r="J40" s="3">
        <f t="shared" ca="1" si="1"/>
        <v>0.71126559225867947</v>
      </c>
    </row>
    <row r="41" spans="1:10" ht="13.2">
      <c r="A41" s="3"/>
      <c r="B41" s="3"/>
      <c r="D41" s="3" t="s">
        <v>208</v>
      </c>
      <c r="E41" s="5" t="s">
        <v>209</v>
      </c>
      <c r="G41" s="4" t="s">
        <v>763</v>
      </c>
      <c r="H41" s="3">
        <v>2</v>
      </c>
      <c r="I41" s="3">
        <v>0</v>
      </c>
      <c r="J41" s="3">
        <f t="shared" ca="1" si="1"/>
        <v>0.53031556660680979</v>
      </c>
    </row>
    <row r="42" spans="1:10" ht="13.2">
      <c r="A42" s="3"/>
      <c r="B42" s="3"/>
      <c r="C42" s="4" t="s">
        <v>6</v>
      </c>
      <c r="D42" s="4" t="s">
        <v>7</v>
      </c>
      <c r="G42" s="4" t="s">
        <v>714</v>
      </c>
      <c r="H42" s="3">
        <v>2</v>
      </c>
      <c r="I42" s="3">
        <v>0</v>
      </c>
      <c r="J42" s="3">
        <f t="shared" ca="1" si="1"/>
        <v>0.89662935440843716</v>
      </c>
    </row>
    <row r="43" spans="1:10" ht="13.2">
      <c r="A43" s="3"/>
      <c r="B43" s="3"/>
      <c r="C43" s="4"/>
      <c r="D43" s="4"/>
      <c r="E43" s="3" t="s">
        <v>75</v>
      </c>
      <c r="F43" s="4" t="s">
        <v>76</v>
      </c>
      <c r="G43" s="4" t="s">
        <v>77</v>
      </c>
      <c r="H43" s="3">
        <v>2</v>
      </c>
      <c r="I43" s="3">
        <v>0</v>
      </c>
      <c r="J43" s="3">
        <f t="shared" ca="1" si="1"/>
        <v>1.4155309158089491E-2</v>
      </c>
    </row>
    <row r="44" spans="1:10" ht="13.2">
      <c r="A44" s="3"/>
      <c r="B44" s="3"/>
      <c r="D44" s="3" t="s">
        <v>25</v>
      </c>
      <c r="E44" s="4" t="s">
        <v>26</v>
      </c>
      <c r="G44" s="4" t="s">
        <v>719</v>
      </c>
      <c r="H44" s="3">
        <v>2</v>
      </c>
      <c r="I44" s="3">
        <v>0</v>
      </c>
      <c r="J44" s="3">
        <f t="shared" ca="1" si="1"/>
        <v>0.74478184670965975</v>
      </c>
    </row>
    <row r="45" spans="1:10" ht="13.2">
      <c r="A45" s="3"/>
      <c r="B45" s="3"/>
      <c r="D45" s="3"/>
      <c r="E45" s="3" t="s">
        <v>283</v>
      </c>
      <c r="F45" s="4" t="s">
        <v>284</v>
      </c>
      <c r="G45" s="4" t="s">
        <v>781</v>
      </c>
      <c r="H45" s="3">
        <v>2</v>
      </c>
      <c r="I45" s="3">
        <v>0</v>
      </c>
      <c r="J45" s="3">
        <f t="shared" ca="1" si="1"/>
        <v>0.57686443640905927</v>
      </c>
    </row>
    <row r="46" spans="1:10" ht="13.2">
      <c r="A46" s="3"/>
      <c r="B46" s="3"/>
      <c r="D46" s="3"/>
      <c r="E46" s="3" t="s">
        <v>243</v>
      </c>
      <c r="F46" s="4" t="s">
        <v>244</v>
      </c>
      <c r="G46" s="4" t="s">
        <v>772</v>
      </c>
      <c r="H46" s="3">
        <v>2</v>
      </c>
      <c r="I46" s="3">
        <v>0</v>
      </c>
      <c r="J46" s="3">
        <f t="shared" ca="1" si="1"/>
        <v>0.75785266204125978</v>
      </c>
    </row>
    <row r="47" spans="1:10" ht="13.2">
      <c r="A47" s="3"/>
      <c r="B47" s="3"/>
      <c r="D47" s="3" t="s">
        <v>262</v>
      </c>
      <c r="E47" s="4" t="s">
        <v>263</v>
      </c>
      <c r="G47" s="4" t="s">
        <v>776</v>
      </c>
      <c r="H47" s="3">
        <v>2</v>
      </c>
      <c r="I47" s="3">
        <v>0</v>
      </c>
      <c r="J47" s="3">
        <f t="shared" ca="1" si="1"/>
        <v>0.66035783105709811</v>
      </c>
    </row>
    <row r="48" spans="1:10" ht="13.2">
      <c r="A48" s="3"/>
      <c r="B48" s="3"/>
      <c r="D48" s="4" t="s">
        <v>542</v>
      </c>
      <c r="E48" s="4" t="s">
        <v>543</v>
      </c>
      <c r="G48" s="4" t="s">
        <v>841</v>
      </c>
      <c r="H48" s="3">
        <v>2</v>
      </c>
      <c r="I48" s="3">
        <v>0</v>
      </c>
      <c r="J48" s="3">
        <f t="shared" ca="1" si="1"/>
        <v>0.33175031381387143</v>
      </c>
    </row>
    <row r="49" spans="1:10" ht="13.2">
      <c r="A49" s="3"/>
      <c r="B49" s="3"/>
      <c r="C49" s="4" t="s">
        <v>527</v>
      </c>
      <c r="D49" s="5" t="s">
        <v>528</v>
      </c>
      <c r="G49" s="4" t="s">
        <v>837</v>
      </c>
      <c r="H49" s="24">
        <v>2</v>
      </c>
      <c r="I49" s="3">
        <v>0</v>
      </c>
      <c r="J49" s="3">
        <f t="shared" ca="1" si="1"/>
        <v>0.47423643504633128</v>
      </c>
    </row>
    <row r="50" spans="1:10" ht="13.2">
      <c r="A50" s="3"/>
      <c r="B50" s="3"/>
      <c r="D50" s="3" t="s">
        <v>223</v>
      </c>
      <c r="E50" s="5" t="s">
        <v>224</v>
      </c>
      <c r="G50" s="4" t="s">
        <v>767</v>
      </c>
      <c r="H50" s="3">
        <v>2</v>
      </c>
      <c r="I50" s="3">
        <v>0</v>
      </c>
      <c r="J50" s="3">
        <f t="shared" ca="1" si="1"/>
        <v>0.64748681511891792</v>
      </c>
    </row>
    <row r="51" spans="1:10" ht="13.2">
      <c r="A51" s="3"/>
      <c r="B51" s="3"/>
      <c r="D51" s="4" t="s">
        <v>563</v>
      </c>
      <c r="E51" s="4" t="s">
        <v>564</v>
      </c>
      <c r="G51" s="4" t="s">
        <v>846</v>
      </c>
      <c r="H51" s="3">
        <v>2</v>
      </c>
      <c r="I51" s="3">
        <v>0</v>
      </c>
      <c r="J51" s="3">
        <f t="shared" ca="1" si="1"/>
        <v>0.22952767549300568</v>
      </c>
    </row>
    <row r="52" spans="1:10" ht="13.2">
      <c r="A52" s="3"/>
      <c r="B52" s="3"/>
      <c r="D52" s="3" t="s">
        <v>60</v>
      </c>
      <c r="E52" s="4" t="s">
        <v>61</v>
      </c>
      <c r="G52" s="4" t="s">
        <v>729</v>
      </c>
      <c r="H52" s="3">
        <v>2</v>
      </c>
      <c r="I52" s="3">
        <v>0</v>
      </c>
      <c r="J52" s="3">
        <f t="shared" ca="1" si="1"/>
        <v>0.57529358374163597</v>
      </c>
    </row>
    <row r="53" spans="1:10" ht="13.2">
      <c r="A53" s="3"/>
      <c r="B53" s="3"/>
      <c r="C53" s="4"/>
      <c r="D53" s="4" t="s">
        <v>353</v>
      </c>
      <c r="E53" s="4" t="s">
        <v>354</v>
      </c>
      <c r="G53" s="4" t="s">
        <v>355</v>
      </c>
      <c r="H53" s="3">
        <v>2</v>
      </c>
      <c r="I53" s="3">
        <v>0</v>
      </c>
      <c r="J53" s="3">
        <f t="shared" ca="1" si="1"/>
        <v>0.92915467926777529</v>
      </c>
    </row>
    <row r="54" spans="1:10" ht="13.2">
      <c r="A54" s="3"/>
      <c r="B54" s="3"/>
      <c r="D54" s="3" t="s">
        <v>336</v>
      </c>
      <c r="E54" s="5" t="s">
        <v>337</v>
      </c>
      <c r="G54" s="4" t="s">
        <v>795</v>
      </c>
      <c r="H54" s="3">
        <v>2</v>
      </c>
      <c r="I54" s="3">
        <v>0</v>
      </c>
      <c r="J54" s="3">
        <f t="shared" ca="1" si="1"/>
        <v>0.3686339859688903</v>
      </c>
    </row>
    <row r="55" spans="1:10" ht="13.2">
      <c r="A55" s="3"/>
      <c r="B55" s="3"/>
      <c r="C55" s="3" t="s">
        <v>595</v>
      </c>
      <c r="D55" s="5" t="s">
        <v>596</v>
      </c>
      <c r="G55" s="4" t="s">
        <v>855</v>
      </c>
      <c r="H55" s="3">
        <v>2</v>
      </c>
      <c r="I55" s="3">
        <v>0</v>
      </c>
      <c r="J55" s="3">
        <f t="shared" ca="1" si="1"/>
        <v>0.71891651954495217</v>
      </c>
    </row>
    <row r="56" spans="1:10" ht="13.2">
      <c r="A56" s="3"/>
      <c r="B56" s="3"/>
      <c r="D56" s="3" t="s">
        <v>318</v>
      </c>
      <c r="E56" s="4" t="s">
        <v>319</v>
      </c>
      <c r="G56" s="4" t="s">
        <v>791</v>
      </c>
      <c r="H56" s="3">
        <v>2</v>
      </c>
      <c r="I56" s="3">
        <v>0</v>
      </c>
      <c r="J56" s="3">
        <f t="shared" ca="1" si="1"/>
        <v>0.73840252197013556</v>
      </c>
    </row>
    <row r="57" spans="1:10" ht="13.2">
      <c r="A57" s="3"/>
      <c r="B57" s="3"/>
      <c r="C57" s="3" t="s">
        <v>580</v>
      </c>
      <c r="D57" s="5" t="s">
        <v>581</v>
      </c>
      <c r="G57" s="4" t="s">
        <v>850</v>
      </c>
      <c r="H57" s="3">
        <v>2</v>
      </c>
      <c r="I57" s="3">
        <v>0</v>
      </c>
      <c r="J57" s="3">
        <f t="shared" ca="1" si="1"/>
        <v>0.18943049974024007</v>
      </c>
    </row>
    <row r="58" spans="1:10" ht="13.2">
      <c r="A58" s="3"/>
      <c r="B58" s="3"/>
      <c r="D58" s="3" t="s">
        <v>43</v>
      </c>
      <c r="E58" s="4" t="s">
        <v>44</v>
      </c>
      <c r="G58" s="4" t="s">
        <v>724</v>
      </c>
      <c r="H58" s="3">
        <v>2</v>
      </c>
      <c r="I58" s="3">
        <v>0</v>
      </c>
      <c r="J58" s="3">
        <f t="shared" ca="1" si="1"/>
        <v>0.89518818494155739</v>
      </c>
    </row>
    <row r="59" spans="1:10" ht="13.2">
      <c r="A59" s="3"/>
      <c r="B59" s="3"/>
      <c r="D59" s="3"/>
      <c r="E59" s="3" t="s">
        <v>298</v>
      </c>
      <c r="F59" s="4" t="s">
        <v>299</v>
      </c>
      <c r="G59" s="4" t="s">
        <v>786</v>
      </c>
      <c r="H59" s="3">
        <v>2</v>
      </c>
      <c r="I59" s="3">
        <v>0</v>
      </c>
      <c r="J59" s="3">
        <f t="shared" ca="1" si="1"/>
        <v>7.3269926689582876E-2</v>
      </c>
    </row>
    <row r="60" spans="1:10" ht="13.2">
      <c r="A60" s="3"/>
      <c r="B60" s="3"/>
      <c r="E60" s="3" t="s">
        <v>630</v>
      </c>
      <c r="F60" s="4" t="s">
        <v>631</v>
      </c>
      <c r="G60" s="4" t="s">
        <v>863</v>
      </c>
      <c r="H60" s="3">
        <v>2</v>
      </c>
      <c r="I60" s="3">
        <v>1</v>
      </c>
      <c r="J60" s="3">
        <f t="shared" ca="1" si="1"/>
        <v>0.67138881960111396</v>
      </c>
    </row>
    <row r="61" spans="1:10" ht="13.2">
      <c r="A61" s="3"/>
      <c r="D61" s="4" t="s">
        <v>686</v>
      </c>
      <c r="E61" s="5" t="s">
        <v>687</v>
      </c>
      <c r="G61" s="4" t="s">
        <v>879</v>
      </c>
      <c r="H61" s="3">
        <v>2</v>
      </c>
      <c r="I61" s="3">
        <v>1</v>
      </c>
      <c r="J61" s="3">
        <f t="shared" ca="1" si="1"/>
        <v>0.84311330809189655</v>
      </c>
    </row>
    <row r="62" spans="1:10" ht="13.2">
      <c r="A62" s="3"/>
      <c r="B62" s="3"/>
      <c r="C62" s="4"/>
      <c r="D62" s="5"/>
      <c r="E62" s="3" t="s">
        <v>374</v>
      </c>
      <c r="F62" s="4" t="s">
        <v>375</v>
      </c>
      <c r="G62" s="4" t="s">
        <v>376</v>
      </c>
      <c r="H62" s="3">
        <v>2</v>
      </c>
      <c r="I62" s="3">
        <v>1</v>
      </c>
      <c r="J62" s="3">
        <f t="shared" ca="1" si="1"/>
        <v>0.1213826555197165</v>
      </c>
    </row>
    <row r="63" spans="1:10" ht="13.2">
      <c r="A63" s="3"/>
      <c r="B63" s="3"/>
      <c r="D63" s="3" t="s">
        <v>133</v>
      </c>
      <c r="E63" s="4" t="s">
        <v>134</v>
      </c>
      <c r="G63" s="4" t="s">
        <v>747</v>
      </c>
      <c r="H63" s="9">
        <v>2</v>
      </c>
      <c r="I63" s="3">
        <v>1</v>
      </c>
      <c r="J63" s="3">
        <f t="shared" ca="1" si="1"/>
        <v>0.87842775184311461</v>
      </c>
    </row>
    <row r="64" spans="1:10" ht="13.2">
      <c r="A64" s="3"/>
      <c r="B64" s="3"/>
      <c r="D64" s="3" t="s">
        <v>500</v>
      </c>
      <c r="E64" s="5" t="s">
        <v>501</v>
      </c>
      <c r="G64" s="4" t="s">
        <v>829</v>
      </c>
      <c r="H64" s="3">
        <v>2</v>
      </c>
      <c r="I64" s="3">
        <v>1</v>
      </c>
      <c r="J64" s="3">
        <f t="shared" ca="1" si="1"/>
        <v>0.71414463959369323</v>
      </c>
    </row>
    <row r="65" spans="1:10" ht="13.2">
      <c r="A65" s="3"/>
      <c r="B65" s="3"/>
      <c r="D65" s="3"/>
      <c r="E65" s="3" t="s">
        <v>434</v>
      </c>
      <c r="F65" s="4" t="s">
        <v>435</v>
      </c>
      <c r="G65" s="4" t="s">
        <v>815</v>
      </c>
      <c r="H65" s="3">
        <v>2</v>
      </c>
      <c r="I65" s="3">
        <v>1</v>
      </c>
      <c r="J65" s="3">
        <f t="shared" ca="1" si="1"/>
        <v>0.78532746970373513</v>
      </c>
    </row>
    <row r="66" spans="1:10" ht="13.2">
      <c r="A66" s="3"/>
      <c r="D66" s="3" t="s">
        <v>178</v>
      </c>
      <c r="E66" s="4" t="s">
        <v>179</v>
      </c>
      <c r="G66" s="4" t="s">
        <v>757</v>
      </c>
      <c r="H66" s="9">
        <v>2</v>
      </c>
      <c r="I66" s="3">
        <v>1</v>
      </c>
      <c r="J66" s="3">
        <f t="shared" ref="J66:J97" ca="1" si="2">RAND()</f>
        <v>0.4849745592758492</v>
      </c>
    </row>
    <row r="67" spans="1:10" ht="13.2">
      <c r="A67" s="3"/>
      <c r="B67" s="3"/>
      <c r="C67" s="4"/>
      <c r="D67" s="3" t="s">
        <v>391</v>
      </c>
      <c r="E67" s="4" t="s">
        <v>392</v>
      </c>
      <c r="G67" s="4" t="s">
        <v>806</v>
      </c>
      <c r="H67" s="3">
        <v>2</v>
      </c>
      <c r="I67" s="3">
        <v>1</v>
      </c>
      <c r="J67" s="3">
        <f t="shared" ca="1" si="2"/>
        <v>0.74588298474658121</v>
      </c>
    </row>
    <row r="68" spans="1:10" ht="13.2">
      <c r="A68" s="3"/>
      <c r="D68" s="4" t="s">
        <v>704</v>
      </c>
      <c r="E68" s="4" t="s">
        <v>705</v>
      </c>
      <c r="G68" s="4" t="s">
        <v>884</v>
      </c>
      <c r="H68" s="3">
        <v>2</v>
      </c>
      <c r="I68" s="3">
        <v>1</v>
      </c>
      <c r="J68" s="3">
        <f t="shared" ca="1" si="2"/>
        <v>0.75458849579256837</v>
      </c>
    </row>
    <row r="69" spans="1:10" ht="13.2">
      <c r="A69" s="3"/>
      <c r="B69" s="3"/>
      <c r="C69" s="4" t="s">
        <v>612</v>
      </c>
      <c r="D69" s="4" t="s">
        <v>613</v>
      </c>
      <c r="G69" s="4" t="s">
        <v>614</v>
      </c>
      <c r="H69" s="3">
        <v>2</v>
      </c>
      <c r="I69" s="3">
        <v>1</v>
      </c>
      <c r="J69" s="3">
        <f t="shared" ca="1" si="2"/>
        <v>0.31386558167450951</v>
      </c>
    </row>
    <row r="70" spans="1:10" ht="13.2">
      <c r="A70" s="3"/>
      <c r="B70" s="3"/>
      <c r="C70" s="4"/>
      <c r="D70" s="3" t="s">
        <v>411</v>
      </c>
      <c r="E70" s="4" t="s">
        <v>412</v>
      </c>
      <c r="G70" s="4" t="s">
        <v>811</v>
      </c>
      <c r="H70" s="3">
        <v>2</v>
      </c>
      <c r="I70" s="3">
        <v>1</v>
      </c>
      <c r="J70" s="3">
        <f t="shared" ca="1" si="2"/>
        <v>0.74457615011287115</v>
      </c>
    </row>
    <row r="71" spans="1:10" ht="13.2">
      <c r="A71" s="3"/>
      <c r="B71" s="3"/>
      <c r="D71" s="3" t="s">
        <v>515</v>
      </c>
      <c r="E71" s="5" t="s">
        <v>516</v>
      </c>
      <c r="G71" s="4" t="s">
        <v>834</v>
      </c>
      <c r="H71" s="3">
        <v>2</v>
      </c>
      <c r="I71" s="3">
        <v>1</v>
      </c>
      <c r="J71" s="3">
        <f t="shared" ca="1" si="2"/>
        <v>0.95174676637245903</v>
      </c>
    </row>
    <row r="72" spans="1:10" ht="13.2">
      <c r="A72" s="3"/>
      <c r="B72" s="3"/>
      <c r="D72" s="3" t="s">
        <v>114</v>
      </c>
      <c r="E72" s="4" t="s">
        <v>115</v>
      </c>
      <c r="G72" s="4" t="s">
        <v>742</v>
      </c>
      <c r="H72" s="9">
        <v>2</v>
      </c>
      <c r="I72" s="3">
        <v>1</v>
      </c>
      <c r="J72" s="3">
        <f t="shared" ca="1" si="2"/>
        <v>0.68659863581605352</v>
      </c>
    </row>
    <row r="73" spans="1:10" ht="13.2">
      <c r="A73" s="3"/>
      <c r="B73" s="3"/>
      <c r="D73" s="3" t="s">
        <v>479</v>
      </c>
      <c r="E73" s="4" t="s">
        <v>480</v>
      </c>
      <c r="G73" s="4" t="s">
        <v>824</v>
      </c>
      <c r="H73" s="3">
        <v>2</v>
      </c>
      <c r="I73" s="3">
        <v>1</v>
      </c>
      <c r="J73" s="3">
        <f t="shared" ca="1" si="2"/>
        <v>0.72387170535117795</v>
      </c>
    </row>
    <row r="74" spans="1:10" ht="13.2">
      <c r="A74" s="3"/>
      <c r="D74" s="3" t="s">
        <v>160</v>
      </c>
      <c r="E74" s="4" t="s">
        <v>161</v>
      </c>
      <c r="G74" s="4" t="s">
        <v>752</v>
      </c>
      <c r="H74" s="9">
        <v>2</v>
      </c>
      <c r="I74" s="3">
        <v>1</v>
      </c>
      <c r="J74" s="3">
        <f t="shared" ca="1" si="2"/>
        <v>1.0733609017007262E-2</v>
      </c>
    </row>
    <row r="75" spans="1:10" ht="13.2">
      <c r="A75" s="3"/>
      <c r="C75" s="4" t="s">
        <v>646</v>
      </c>
      <c r="D75" s="4" t="s">
        <v>647</v>
      </c>
      <c r="G75" s="4" t="s">
        <v>869</v>
      </c>
      <c r="H75" s="3">
        <v>2</v>
      </c>
      <c r="I75" s="3">
        <v>1</v>
      </c>
      <c r="J75" s="3">
        <f t="shared" ca="1" si="2"/>
        <v>5.8652548650823255E-2</v>
      </c>
    </row>
    <row r="76" spans="1:10" ht="13.2">
      <c r="A76" s="3"/>
      <c r="B76" s="3"/>
      <c r="D76" s="3" t="s">
        <v>452</v>
      </c>
      <c r="E76" s="5" t="s">
        <v>453</v>
      </c>
      <c r="G76" s="4" t="s">
        <v>819</v>
      </c>
      <c r="H76" s="3">
        <v>2</v>
      </c>
      <c r="I76" s="3">
        <v>1</v>
      </c>
      <c r="J76" s="3">
        <f t="shared" ca="1" si="2"/>
        <v>0.3073175613442054</v>
      </c>
    </row>
    <row r="77" spans="1:10" ht="13.2">
      <c r="A77" s="3"/>
      <c r="D77" s="3" t="s">
        <v>664</v>
      </c>
      <c r="E77" s="4" t="s">
        <v>665</v>
      </c>
      <c r="G77" s="4" t="s">
        <v>874</v>
      </c>
      <c r="H77" s="3">
        <v>2</v>
      </c>
      <c r="I77" s="3">
        <v>1</v>
      </c>
      <c r="J77" s="3">
        <f t="shared" ca="1" si="2"/>
        <v>0.58554689834073959</v>
      </c>
    </row>
    <row r="78" spans="1:10" ht="13.2">
      <c r="A78" s="3"/>
      <c r="B78" s="3"/>
      <c r="D78" s="3" t="s">
        <v>92</v>
      </c>
      <c r="E78" s="4" t="s">
        <v>93</v>
      </c>
      <c r="G78" s="4" t="s">
        <v>737</v>
      </c>
      <c r="H78" s="3">
        <v>2</v>
      </c>
      <c r="I78" s="3">
        <v>1</v>
      </c>
      <c r="J78" s="3">
        <f t="shared" ca="1" si="2"/>
        <v>0.1343287731009204</v>
      </c>
    </row>
    <row r="79" spans="1:10" ht="13.2">
      <c r="A79" s="3"/>
      <c r="B79" s="3"/>
      <c r="D79" s="3" t="s">
        <v>249</v>
      </c>
      <c r="E79" s="5" t="s">
        <v>250</v>
      </c>
      <c r="G79" s="4" t="s">
        <v>773</v>
      </c>
      <c r="H79" s="3">
        <v>3</v>
      </c>
      <c r="I79" s="3">
        <v>0</v>
      </c>
      <c r="J79" s="3">
        <f t="shared" ca="1" si="2"/>
        <v>0.72163666857406383</v>
      </c>
    </row>
    <row r="80" spans="1:10" ht="13.2">
      <c r="A80" s="3"/>
      <c r="B80" s="3"/>
      <c r="C80" s="4"/>
      <c r="D80" s="4"/>
      <c r="E80" s="3" t="s">
        <v>78</v>
      </c>
      <c r="F80" s="4" t="s">
        <v>79</v>
      </c>
      <c r="G80" s="4" t="s">
        <v>733</v>
      </c>
      <c r="H80" s="3">
        <v>3</v>
      </c>
      <c r="I80" s="3">
        <v>0</v>
      </c>
      <c r="J80" s="3">
        <f t="shared" ca="1" si="2"/>
        <v>0.51826209830495595</v>
      </c>
    </row>
    <row r="81" spans="1:10" ht="13.2">
      <c r="A81" s="3"/>
      <c r="B81" s="3"/>
      <c r="D81" s="3" t="s">
        <v>339</v>
      </c>
      <c r="E81" s="4" t="s">
        <v>340</v>
      </c>
      <c r="G81" s="4" t="s">
        <v>796</v>
      </c>
      <c r="H81" s="3">
        <v>3</v>
      </c>
      <c r="I81" s="3">
        <v>0</v>
      </c>
      <c r="J81" s="3">
        <f t="shared" ca="1" si="2"/>
        <v>0.96850864423868366</v>
      </c>
    </row>
    <row r="82" spans="1:10" ht="13.2">
      <c r="A82" s="3"/>
      <c r="B82" s="3"/>
      <c r="D82" s="3"/>
      <c r="E82" s="3" t="s">
        <v>286</v>
      </c>
      <c r="F82" s="4" t="s">
        <v>287</v>
      </c>
      <c r="G82" s="4" t="s">
        <v>782</v>
      </c>
      <c r="H82" s="3">
        <v>3</v>
      </c>
      <c r="I82" s="3">
        <v>0</v>
      </c>
      <c r="J82" s="3">
        <f t="shared" ca="1" si="2"/>
        <v>0.51507442460544894</v>
      </c>
    </row>
    <row r="83" spans="1:10" ht="13.2">
      <c r="A83" s="3"/>
      <c r="B83" s="3"/>
      <c r="D83" s="3" t="s">
        <v>304</v>
      </c>
      <c r="E83" s="4" t="s">
        <v>305</v>
      </c>
      <c r="G83" s="4" t="s">
        <v>787</v>
      </c>
      <c r="H83" s="3">
        <v>3</v>
      </c>
      <c r="I83" s="3">
        <v>0</v>
      </c>
      <c r="J83" s="3">
        <f t="shared" ca="1" si="2"/>
        <v>0.38613841568219387</v>
      </c>
    </row>
    <row r="84" spans="1:10" ht="13.2">
      <c r="A84" s="3"/>
      <c r="B84" s="3"/>
      <c r="D84" s="3" t="s">
        <v>210</v>
      </c>
      <c r="E84" s="5" t="s">
        <v>211</v>
      </c>
      <c r="G84" s="4" t="s">
        <v>74</v>
      </c>
      <c r="H84" s="3">
        <v>3</v>
      </c>
      <c r="I84" s="3">
        <v>0</v>
      </c>
      <c r="J84" s="3">
        <f t="shared" ca="1" si="2"/>
        <v>0.33214223399274212</v>
      </c>
    </row>
    <row r="85" spans="1:10" ht="13.2">
      <c r="A85" s="3"/>
      <c r="B85" s="3"/>
      <c r="D85" s="4" t="s">
        <v>545</v>
      </c>
      <c r="E85" s="4" t="s">
        <v>546</v>
      </c>
      <c r="G85" s="4" t="s">
        <v>842</v>
      </c>
      <c r="H85" s="3">
        <v>3</v>
      </c>
      <c r="I85" s="3">
        <v>0</v>
      </c>
      <c r="J85" s="3">
        <f t="shared" ca="1" si="2"/>
        <v>0.43326205092664449</v>
      </c>
    </row>
    <row r="86" spans="1:10" ht="13.2">
      <c r="A86" s="3"/>
      <c r="B86" s="3"/>
      <c r="D86" s="3" t="s">
        <v>321</v>
      </c>
      <c r="E86" s="4" t="s">
        <v>322</v>
      </c>
      <c r="G86" s="4" t="s">
        <v>323</v>
      </c>
      <c r="H86" s="3">
        <v>3</v>
      </c>
      <c r="I86" s="3">
        <v>0</v>
      </c>
      <c r="J86" s="3">
        <f t="shared" ca="1" si="2"/>
        <v>0.26869506574517388</v>
      </c>
    </row>
    <row r="87" spans="1:10" ht="13.2">
      <c r="A87" s="3"/>
      <c r="B87" s="3"/>
      <c r="D87" s="3" t="s">
        <v>63</v>
      </c>
      <c r="E87" s="4" t="s">
        <v>64</v>
      </c>
      <c r="G87" s="4" t="s">
        <v>730</v>
      </c>
      <c r="H87" s="3">
        <v>3</v>
      </c>
      <c r="I87" s="3">
        <v>0</v>
      </c>
      <c r="J87" s="3">
        <f t="shared" ca="1" si="2"/>
        <v>0.69684587161214784</v>
      </c>
    </row>
    <row r="88" spans="1:10" ht="13.2">
      <c r="A88" s="3"/>
      <c r="B88" s="3"/>
      <c r="D88" s="4" t="s">
        <v>566</v>
      </c>
      <c r="E88" s="4" t="s">
        <v>567</v>
      </c>
      <c r="G88" s="4" t="s">
        <v>568</v>
      </c>
      <c r="H88" s="3">
        <v>3</v>
      </c>
      <c r="I88" s="3">
        <v>0</v>
      </c>
      <c r="J88" s="3">
        <f t="shared" ca="1" si="2"/>
        <v>0.40853718250851012</v>
      </c>
    </row>
    <row r="89" spans="1:10" ht="13.2">
      <c r="A89" s="3"/>
      <c r="B89" s="3"/>
      <c r="C89" s="4" t="s">
        <v>9</v>
      </c>
      <c r="D89" s="4" t="s">
        <v>10</v>
      </c>
      <c r="G89" s="4" t="s">
        <v>715</v>
      </c>
      <c r="H89" s="3">
        <v>3</v>
      </c>
      <c r="I89" s="3">
        <v>0</v>
      </c>
      <c r="J89" s="3">
        <f t="shared" ca="1" si="2"/>
        <v>0.66154185556444223</v>
      </c>
    </row>
    <row r="90" spans="1:10" ht="13.2">
      <c r="A90" s="3"/>
      <c r="B90" s="3"/>
      <c r="E90" s="3" t="s">
        <v>229</v>
      </c>
      <c r="F90" s="5" t="s">
        <v>230</v>
      </c>
      <c r="G90" s="4" t="s">
        <v>768</v>
      </c>
      <c r="H90" s="3">
        <v>3</v>
      </c>
      <c r="I90" s="3">
        <v>0</v>
      </c>
      <c r="J90" s="3">
        <f t="shared" ca="1" si="2"/>
        <v>0.68897446746001567</v>
      </c>
    </row>
    <row r="91" spans="1:10" ht="13.2">
      <c r="A91" s="3"/>
      <c r="B91" s="3"/>
      <c r="D91" s="3"/>
      <c r="E91" s="4" t="s">
        <v>269</v>
      </c>
      <c r="F91" s="4" t="s">
        <v>270</v>
      </c>
      <c r="G91" s="4" t="s">
        <v>777</v>
      </c>
      <c r="H91" s="3">
        <v>3</v>
      </c>
      <c r="I91" s="3">
        <v>0</v>
      </c>
      <c r="J91" s="3">
        <f t="shared" ca="1" si="2"/>
        <v>0.11561565990483069</v>
      </c>
    </row>
    <row r="92" spans="1:10" ht="13.2">
      <c r="A92" s="3"/>
      <c r="B92" s="3"/>
      <c r="C92" s="3" t="s">
        <v>598</v>
      </c>
      <c r="D92" s="5" t="s">
        <v>599</v>
      </c>
      <c r="G92" s="4" t="s">
        <v>856</v>
      </c>
      <c r="H92" s="3">
        <v>3</v>
      </c>
      <c r="I92" s="3">
        <v>0</v>
      </c>
      <c r="J92" s="3">
        <f t="shared" ca="1" si="2"/>
        <v>0.10602269441890655</v>
      </c>
    </row>
    <row r="93" spans="1:10" ht="13.2">
      <c r="A93" s="3"/>
      <c r="B93" s="3"/>
      <c r="C93" s="3" t="s">
        <v>583</v>
      </c>
      <c r="D93" s="5" t="s">
        <v>584</v>
      </c>
      <c r="G93" s="4" t="s">
        <v>851</v>
      </c>
      <c r="H93" s="3">
        <v>3</v>
      </c>
      <c r="I93" s="3">
        <v>0</v>
      </c>
      <c r="J93" s="3">
        <f t="shared" ca="1" si="2"/>
        <v>0.86044357149321549</v>
      </c>
    </row>
    <row r="94" spans="1:10" ht="13.2">
      <c r="A94" s="3"/>
      <c r="B94" s="3"/>
      <c r="D94" s="3" t="s">
        <v>46</v>
      </c>
      <c r="E94" s="4" t="s">
        <v>47</v>
      </c>
      <c r="G94" s="4" t="s">
        <v>725</v>
      </c>
      <c r="H94" s="3">
        <v>3</v>
      </c>
      <c r="I94" s="3">
        <v>0</v>
      </c>
      <c r="J94" s="3">
        <f t="shared" ca="1" si="2"/>
        <v>0.25803226686409431</v>
      </c>
    </row>
    <row r="95" spans="1:10" ht="13.2">
      <c r="A95" s="3"/>
      <c r="B95" s="3"/>
      <c r="C95" s="4" t="s">
        <v>530</v>
      </c>
      <c r="D95" s="5" t="s">
        <v>531</v>
      </c>
      <c r="G95" s="4" t="s">
        <v>838</v>
      </c>
      <c r="H95" s="3">
        <v>3</v>
      </c>
      <c r="I95" s="3">
        <v>0</v>
      </c>
      <c r="J95" s="3">
        <f t="shared" ca="1" si="2"/>
        <v>0.39704288976669855</v>
      </c>
    </row>
    <row r="96" spans="1:10" ht="13.2">
      <c r="A96" s="3"/>
      <c r="B96" s="3"/>
      <c r="D96" s="3" t="s">
        <v>28</v>
      </c>
      <c r="E96" s="4" t="s">
        <v>29</v>
      </c>
      <c r="G96" s="4" t="s">
        <v>720</v>
      </c>
      <c r="H96" s="3">
        <v>3</v>
      </c>
      <c r="I96" s="3">
        <v>0</v>
      </c>
      <c r="J96" s="3">
        <f t="shared" ca="1" si="2"/>
        <v>0.20229946219627093</v>
      </c>
    </row>
    <row r="97" spans="1:10" ht="13.2">
      <c r="A97" s="3"/>
      <c r="B97" s="3"/>
      <c r="C97" s="4"/>
      <c r="D97" s="5"/>
      <c r="E97" s="3" t="s">
        <v>377</v>
      </c>
      <c r="F97" s="4" t="s">
        <v>378</v>
      </c>
      <c r="G97" s="4" t="s">
        <v>802</v>
      </c>
      <c r="H97" s="3">
        <v>3</v>
      </c>
      <c r="I97" s="3">
        <v>1</v>
      </c>
      <c r="J97" s="3">
        <f t="shared" ca="1" si="2"/>
        <v>0.72057379510806752</v>
      </c>
    </row>
    <row r="98" spans="1:10" ht="13.2">
      <c r="A98" s="3"/>
      <c r="B98" s="3"/>
      <c r="D98" s="3" t="s">
        <v>457</v>
      </c>
      <c r="E98" s="5" t="s">
        <v>458</v>
      </c>
      <c r="G98" s="4" t="s">
        <v>820</v>
      </c>
      <c r="H98" s="3">
        <v>3</v>
      </c>
      <c r="I98" s="3">
        <v>1</v>
      </c>
      <c r="J98" s="3">
        <f t="shared" ref="J98:J129" ca="1" si="3">RAND()</f>
        <v>0.14579308796736667</v>
      </c>
    </row>
    <row r="99" spans="1:10" ht="13.2">
      <c r="A99" s="3"/>
      <c r="B99" s="3"/>
      <c r="E99" s="3" t="s">
        <v>633</v>
      </c>
      <c r="F99" s="4" t="s">
        <v>634</v>
      </c>
      <c r="G99" s="4" t="s">
        <v>864</v>
      </c>
      <c r="H99" s="3">
        <v>3</v>
      </c>
      <c r="I99" s="3">
        <v>1</v>
      </c>
      <c r="J99" s="3">
        <f t="shared" ca="1" si="3"/>
        <v>0.83215940346256523</v>
      </c>
    </row>
    <row r="100" spans="1:10" ht="13.2">
      <c r="A100" s="3"/>
      <c r="B100" s="3"/>
      <c r="D100" s="9" t="s">
        <v>503</v>
      </c>
      <c r="E100" s="7" t="s">
        <v>504</v>
      </c>
      <c r="F100" s="6"/>
      <c r="G100" s="4" t="s">
        <v>830</v>
      </c>
      <c r="H100" s="3">
        <v>3</v>
      </c>
      <c r="I100" s="3">
        <v>1</v>
      </c>
      <c r="J100" s="3">
        <f t="shared" ca="1" si="3"/>
        <v>0.41271433867424334</v>
      </c>
    </row>
    <row r="101" spans="1:10" ht="13.2">
      <c r="A101" s="3"/>
      <c r="D101" s="3" t="s">
        <v>185</v>
      </c>
      <c r="E101" s="4" t="s">
        <v>186</v>
      </c>
      <c r="G101" s="4" t="s">
        <v>758</v>
      </c>
      <c r="H101" s="9">
        <v>3</v>
      </c>
      <c r="I101" s="3">
        <v>1</v>
      </c>
      <c r="J101" s="3">
        <f t="shared" ca="1" si="3"/>
        <v>0.11280057047528191</v>
      </c>
    </row>
    <row r="102" spans="1:10" ht="13.2">
      <c r="A102" s="3"/>
      <c r="D102" s="3" t="s">
        <v>163</v>
      </c>
      <c r="E102" s="4" t="s">
        <v>164</v>
      </c>
      <c r="G102" s="4" t="s">
        <v>753</v>
      </c>
      <c r="H102" s="9">
        <v>3</v>
      </c>
      <c r="I102" s="3">
        <v>1</v>
      </c>
      <c r="J102" s="3">
        <f t="shared" ca="1" si="3"/>
        <v>0.61227460889609708</v>
      </c>
    </row>
    <row r="103" spans="1:10" ht="13.2">
      <c r="A103" s="3"/>
      <c r="B103" s="3"/>
      <c r="C103" s="4"/>
      <c r="D103" s="3"/>
      <c r="E103" s="3" t="s">
        <v>360</v>
      </c>
      <c r="F103" s="4" t="s">
        <v>361</v>
      </c>
      <c r="G103" s="4" t="s">
        <v>355</v>
      </c>
      <c r="H103" s="3">
        <v>3</v>
      </c>
      <c r="I103" s="3">
        <v>1</v>
      </c>
      <c r="J103" s="3">
        <f t="shared" ca="1" si="3"/>
        <v>0.18376661352470625</v>
      </c>
    </row>
    <row r="104" spans="1:10" ht="13.2">
      <c r="A104" s="3"/>
      <c r="C104" s="3" t="s">
        <v>651</v>
      </c>
      <c r="D104" s="4" t="s">
        <v>652</v>
      </c>
      <c r="G104" s="4" t="s">
        <v>870</v>
      </c>
      <c r="H104" s="3">
        <v>3</v>
      </c>
      <c r="I104" s="3">
        <v>1</v>
      </c>
      <c r="J104" s="3">
        <f t="shared" ca="1" si="3"/>
        <v>0.49772407638273242</v>
      </c>
    </row>
    <row r="105" spans="1:10" ht="13.2">
      <c r="A105" s="3"/>
      <c r="B105" s="3"/>
      <c r="C105" s="4"/>
      <c r="D105" s="3"/>
      <c r="E105" s="3" t="s">
        <v>399</v>
      </c>
      <c r="F105" s="4" t="s">
        <v>400</v>
      </c>
      <c r="G105" s="4" t="s">
        <v>807</v>
      </c>
      <c r="H105" s="3">
        <v>3</v>
      </c>
      <c r="I105" s="3">
        <v>1</v>
      </c>
      <c r="J105" s="3">
        <f t="shared" ca="1" si="3"/>
        <v>0.13654017882031477</v>
      </c>
    </row>
    <row r="106" spans="1:10" ht="13.2">
      <c r="A106" s="3"/>
      <c r="D106" s="3" t="s">
        <v>666</v>
      </c>
      <c r="E106" s="4" t="s">
        <v>667</v>
      </c>
      <c r="G106" s="4" t="s">
        <v>875</v>
      </c>
      <c r="H106" s="3">
        <v>3</v>
      </c>
      <c r="I106" s="3">
        <v>1</v>
      </c>
      <c r="J106" s="3">
        <f t="shared" ca="1" si="3"/>
        <v>0.50716294433385756</v>
      </c>
    </row>
    <row r="107" spans="1:10" ht="13.2">
      <c r="A107" s="3"/>
      <c r="D107" s="3" t="s">
        <v>139</v>
      </c>
      <c r="E107" s="4" t="s">
        <v>140</v>
      </c>
      <c r="G107" s="4" t="s">
        <v>748</v>
      </c>
      <c r="H107" s="9">
        <v>3</v>
      </c>
      <c r="I107" s="3">
        <v>1</v>
      </c>
      <c r="J107" s="3">
        <f t="shared" ca="1" si="3"/>
        <v>0.3860186962067399</v>
      </c>
    </row>
    <row r="108" spans="1:10" ht="13.2">
      <c r="A108" s="3"/>
      <c r="B108" s="3"/>
      <c r="D108" s="4" t="s">
        <v>485</v>
      </c>
      <c r="E108" s="4" t="s">
        <v>486</v>
      </c>
      <c r="G108" s="4" t="s">
        <v>825</v>
      </c>
      <c r="H108" s="3">
        <v>3</v>
      </c>
      <c r="I108" s="3">
        <v>1</v>
      </c>
      <c r="J108" s="3">
        <f t="shared" ca="1" si="3"/>
        <v>0.84186232054443788</v>
      </c>
    </row>
    <row r="109" spans="1:10" ht="13.2">
      <c r="A109" s="3"/>
      <c r="B109" s="3"/>
      <c r="D109" s="3" t="s">
        <v>519</v>
      </c>
      <c r="E109" s="5" t="s">
        <v>520</v>
      </c>
      <c r="G109" s="4" t="s">
        <v>835</v>
      </c>
      <c r="H109" s="3">
        <v>3</v>
      </c>
      <c r="I109" s="3">
        <v>1</v>
      </c>
      <c r="J109" s="3">
        <f t="shared" ca="1" si="3"/>
        <v>0.94238101411485475</v>
      </c>
    </row>
    <row r="110" spans="1:10" ht="13.2">
      <c r="A110" s="3"/>
      <c r="B110" s="3"/>
      <c r="D110" s="3" t="s">
        <v>117</v>
      </c>
      <c r="E110" s="4" t="s">
        <v>118</v>
      </c>
      <c r="G110" s="4" t="s">
        <v>743</v>
      </c>
      <c r="H110" s="9">
        <v>3</v>
      </c>
      <c r="I110" s="3">
        <v>1</v>
      </c>
      <c r="J110" s="3">
        <f t="shared" ca="1" si="3"/>
        <v>0.93078482362687864</v>
      </c>
    </row>
    <row r="111" spans="1:10" ht="13.2">
      <c r="A111" s="3"/>
      <c r="B111" s="3"/>
      <c r="D111" s="3" t="s">
        <v>95</v>
      </c>
      <c r="E111" s="4" t="s">
        <v>96</v>
      </c>
      <c r="G111" s="4" t="s">
        <v>738</v>
      </c>
      <c r="H111" s="3">
        <v>3</v>
      </c>
      <c r="I111" s="3">
        <v>1</v>
      </c>
      <c r="J111" s="3">
        <f t="shared" ca="1" si="3"/>
        <v>0.29320161860949745</v>
      </c>
    </row>
    <row r="112" spans="1:10" ht="13.2">
      <c r="A112" s="3"/>
      <c r="B112" s="3"/>
      <c r="C112" s="4"/>
      <c r="D112" s="4" t="s">
        <v>615</v>
      </c>
      <c r="E112" s="4" t="s">
        <v>616</v>
      </c>
      <c r="G112" s="4" t="s">
        <v>859</v>
      </c>
      <c r="H112" s="3">
        <v>3</v>
      </c>
      <c r="I112" s="3">
        <v>1</v>
      </c>
      <c r="J112" s="3">
        <f t="shared" ca="1" si="3"/>
        <v>2.0716120302806118E-3</v>
      </c>
    </row>
    <row r="113" spans="1:10" ht="13.2">
      <c r="A113" s="3"/>
      <c r="D113" s="4" t="s">
        <v>689</v>
      </c>
      <c r="E113" s="4" t="s">
        <v>690</v>
      </c>
      <c r="G113" s="4" t="s">
        <v>880</v>
      </c>
      <c r="H113" s="3">
        <v>3</v>
      </c>
      <c r="I113" s="3">
        <v>1</v>
      </c>
      <c r="J113" s="3">
        <f t="shared" ca="1" si="3"/>
        <v>0.23766577150912016</v>
      </c>
    </row>
    <row r="114" spans="1:10" ht="13.2">
      <c r="A114" s="3"/>
      <c r="B114" s="3"/>
      <c r="C114" s="4"/>
      <c r="D114" s="3" t="s">
        <v>414</v>
      </c>
      <c r="E114" s="4" t="s">
        <v>415</v>
      </c>
      <c r="G114" s="4" t="s">
        <v>812</v>
      </c>
      <c r="H114" s="3">
        <v>3</v>
      </c>
      <c r="I114" s="3">
        <v>1</v>
      </c>
      <c r="J114" s="3">
        <f t="shared" ca="1" si="3"/>
        <v>0.91034807655721139</v>
      </c>
    </row>
    <row r="115" spans="1:10" ht="13.2">
      <c r="A115" s="3"/>
      <c r="B115" s="3"/>
      <c r="D115" s="3"/>
      <c r="E115" s="3" t="s">
        <v>437</v>
      </c>
      <c r="F115" s="4" t="s">
        <v>438</v>
      </c>
      <c r="G115" s="4" t="s">
        <v>815</v>
      </c>
      <c r="H115" s="3">
        <v>3</v>
      </c>
      <c r="I115" s="3">
        <v>1</v>
      </c>
      <c r="J115" s="3">
        <f t="shared" ca="1" si="3"/>
        <v>0.4713458796660811</v>
      </c>
    </row>
    <row r="116" spans="1:10" ht="13.2">
      <c r="A116" s="3"/>
      <c r="B116" s="3"/>
      <c r="C116" s="3" t="s">
        <v>586</v>
      </c>
      <c r="D116" s="5" t="s">
        <v>587</v>
      </c>
      <c r="G116" s="4" t="s">
        <v>852</v>
      </c>
      <c r="H116" s="3">
        <v>4</v>
      </c>
      <c r="I116" s="3">
        <v>0</v>
      </c>
      <c r="J116" s="3">
        <f t="shared" ca="1" si="3"/>
        <v>0.19371658541590642</v>
      </c>
    </row>
    <row r="117" spans="1:10" ht="13.2">
      <c r="A117" s="3"/>
      <c r="B117" s="3"/>
      <c r="D117" s="3"/>
      <c r="E117" s="3" t="s">
        <v>66</v>
      </c>
      <c r="F117" s="4" t="s">
        <v>67</v>
      </c>
      <c r="G117" s="4" t="s">
        <v>731</v>
      </c>
      <c r="H117" s="3">
        <v>4</v>
      </c>
      <c r="I117" s="3">
        <v>0</v>
      </c>
      <c r="J117" s="3">
        <f t="shared" ca="1" si="3"/>
        <v>0.49932623710309088</v>
      </c>
    </row>
    <row r="118" spans="1:10" ht="13.2">
      <c r="A118" s="3"/>
      <c r="B118" s="3"/>
      <c r="C118" s="4"/>
      <c r="D118" s="4" t="s">
        <v>344</v>
      </c>
      <c r="E118" s="4" t="s">
        <v>345</v>
      </c>
      <c r="G118" s="4" t="s">
        <v>346</v>
      </c>
      <c r="H118" s="3">
        <v>4</v>
      </c>
      <c r="I118" s="3">
        <v>0</v>
      </c>
      <c r="J118" s="3">
        <f t="shared" ca="1" si="3"/>
        <v>0.56217039884678255</v>
      </c>
    </row>
    <row r="119" spans="1:10" ht="13.2">
      <c r="A119" s="3"/>
      <c r="B119" s="3"/>
      <c r="D119" s="3"/>
      <c r="E119" s="3" t="s">
        <v>309</v>
      </c>
      <c r="F119" s="4" t="s">
        <v>310</v>
      </c>
      <c r="G119" s="4" t="s">
        <v>788</v>
      </c>
      <c r="H119" s="3">
        <v>4</v>
      </c>
      <c r="I119" s="3">
        <v>0</v>
      </c>
      <c r="J119" s="3">
        <f t="shared" ca="1" si="3"/>
        <v>0.79597751792366167</v>
      </c>
    </row>
    <row r="120" spans="1:10" ht="13.2">
      <c r="A120" s="3"/>
      <c r="B120" s="3"/>
      <c r="C120" s="4" t="s">
        <v>533</v>
      </c>
      <c r="D120" s="5" t="s">
        <v>534</v>
      </c>
      <c r="G120" s="4" t="s">
        <v>535</v>
      </c>
      <c r="H120" s="3">
        <v>4</v>
      </c>
      <c r="I120" s="3">
        <v>0</v>
      </c>
      <c r="J120" s="3">
        <f t="shared" ca="1" si="3"/>
        <v>0.71643089587342623</v>
      </c>
    </row>
    <row r="121" spans="1:10" ht="13.2">
      <c r="A121" s="3"/>
      <c r="B121" s="3"/>
      <c r="D121" s="3" t="s">
        <v>252</v>
      </c>
      <c r="E121" s="5" t="s">
        <v>253</v>
      </c>
      <c r="G121" s="4" t="s">
        <v>774</v>
      </c>
      <c r="H121" s="3">
        <v>4</v>
      </c>
      <c r="I121" s="3">
        <v>0</v>
      </c>
      <c r="J121" s="3">
        <f t="shared" ca="1" si="3"/>
        <v>6.1046104092814413E-2</v>
      </c>
    </row>
    <row r="122" spans="1:10" ht="13.2">
      <c r="A122" s="3"/>
      <c r="B122" s="3"/>
      <c r="D122" s="3"/>
      <c r="E122" s="3" t="s">
        <v>289</v>
      </c>
      <c r="F122" s="4" t="s">
        <v>290</v>
      </c>
      <c r="G122" s="4" t="s">
        <v>783</v>
      </c>
      <c r="H122" s="3">
        <v>4</v>
      </c>
      <c r="I122" s="3">
        <v>0</v>
      </c>
      <c r="J122" s="3">
        <f t="shared" ca="1" si="3"/>
        <v>0.62159958308942465</v>
      </c>
    </row>
    <row r="123" spans="1:10" ht="13.2">
      <c r="A123" s="3"/>
      <c r="B123" s="3"/>
      <c r="D123" s="4" t="s">
        <v>548</v>
      </c>
      <c r="E123" s="4" t="s">
        <v>549</v>
      </c>
      <c r="G123" s="4" t="s">
        <v>843</v>
      </c>
      <c r="H123" s="3">
        <v>4</v>
      </c>
      <c r="I123" s="3">
        <v>0</v>
      </c>
      <c r="J123" s="3">
        <f t="shared" ca="1" si="3"/>
        <v>0.62798496002364523</v>
      </c>
    </row>
    <row r="124" spans="1:10" ht="13.2">
      <c r="A124" s="3"/>
      <c r="B124" s="3"/>
      <c r="D124" s="3"/>
      <c r="E124" s="4" t="s">
        <v>272</v>
      </c>
      <c r="F124" s="4" t="s">
        <v>273</v>
      </c>
      <c r="G124" s="4" t="s">
        <v>778</v>
      </c>
      <c r="H124" s="3">
        <v>4</v>
      </c>
      <c r="I124" s="3">
        <v>0</v>
      </c>
      <c r="J124" s="3">
        <f t="shared" ca="1" si="3"/>
        <v>0.37106830955811987</v>
      </c>
    </row>
    <row r="125" spans="1:10" ht="13.2">
      <c r="A125" s="3"/>
      <c r="B125" s="3"/>
      <c r="D125" s="4" t="s">
        <v>569</v>
      </c>
      <c r="E125" s="4" t="s">
        <v>570</v>
      </c>
      <c r="G125" s="4" t="s">
        <v>847</v>
      </c>
      <c r="H125" s="3">
        <v>4</v>
      </c>
      <c r="I125" s="3">
        <v>0</v>
      </c>
      <c r="J125" s="3">
        <f t="shared" ca="1" si="3"/>
        <v>0.46573054715128681</v>
      </c>
    </row>
    <row r="126" spans="1:10" ht="13.2">
      <c r="A126" s="3"/>
      <c r="B126" s="3"/>
      <c r="C126" s="4" t="s">
        <v>13</v>
      </c>
      <c r="D126" s="4" t="s">
        <v>14</v>
      </c>
      <c r="G126" s="4" t="s">
        <v>716</v>
      </c>
      <c r="H126" s="3">
        <v>4</v>
      </c>
      <c r="I126" s="3">
        <v>0</v>
      </c>
      <c r="J126" s="3">
        <f t="shared" ca="1" si="3"/>
        <v>0.83822253077727582</v>
      </c>
    </row>
    <row r="127" spans="1:10" ht="13.2">
      <c r="A127" s="3"/>
      <c r="B127" s="3"/>
      <c r="D127" s="3" t="s">
        <v>83</v>
      </c>
      <c r="E127" s="4" t="s">
        <v>84</v>
      </c>
      <c r="G127" s="4" t="s">
        <v>734</v>
      </c>
      <c r="H127" s="3">
        <v>4</v>
      </c>
      <c r="I127" s="3">
        <v>0</v>
      </c>
      <c r="J127" s="3">
        <f t="shared" ca="1" si="3"/>
        <v>0.69715663350220758</v>
      </c>
    </row>
    <row r="128" spans="1:10" ht="13.2">
      <c r="A128" s="3"/>
      <c r="B128" s="3"/>
      <c r="D128" s="3"/>
      <c r="E128" s="3" t="s">
        <v>232</v>
      </c>
      <c r="F128" s="5" t="s">
        <v>233</v>
      </c>
      <c r="G128" s="4" t="s">
        <v>769</v>
      </c>
      <c r="H128" s="3">
        <v>4</v>
      </c>
      <c r="I128" s="3">
        <v>0</v>
      </c>
      <c r="J128" s="3">
        <f t="shared" ca="1" si="3"/>
        <v>0.49296055869325395</v>
      </c>
    </row>
    <row r="129" spans="1:10" ht="13.2">
      <c r="A129" s="3"/>
      <c r="B129" s="3"/>
      <c r="D129" s="3" t="s">
        <v>214</v>
      </c>
      <c r="E129" s="5" t="s">
        <v>215</v>
      </c>
      <c r="G129" s="4" t="s">
        <v>764</v>
      </c>
      <c r="H129" s="3">
        <v>4</v>
      </c>
      <c r="I129" s="3">
        <v>0</v>
      </c>
      <c r="J129" s="3">
        <f t="shared" ca="1" si="3"/>
        <v>0.86837290268935707</v>
      </c>
    </row>
    <row r="130" spans="1:10" ht="13.2">
      <c r="A130" s="3"/>
      <c r="B130" s="3"/>
      <c r="D130" s="3" t="s">
        <v>601</v>
      </c>
      <c r="E130" s="4" t="s">
        <v>602</v>
      </c>
      <c r="G130" s="4" t="s">
        <v>603</v>
      </c>
      <c r="H130" s="3">
        <v>4</v>
      </c>
      <c r="I130" s="3">
        <v>0</v>
      </c>
      <c r="J130" s="3">
        <f t="shared" ref="J130:J161" ca="1" si="4">RAND()</f>
        <v>0.97641611317967247</v>
      </c>
    </row>
    <row r="131" spans="1:10" ht="13.2">
      <c r="A131" s="3"/>
      <c r="B131" s="3"/>
      <c r="D131" s="3" t="s">
        <v>324</v>
      </c>
      <c r="E131" s="4" t="s">
        <v>325</v>
      </c>
      <c r="G131" s="4" t="s">
        <v>792</v>
      </c>
      <c r="H131" s="3">
        <v>4</v>
      </c>
      <c r="I131" s="3">
        <v>0</v>
      </c>
      <c r="J131" s="3">
        <f t="shared" ca="1" si="4"/>
        <v>0.5382029566058123</v>
      </c>
    </row>
    <row r="132" spans="1:10" ht="13.2">
      <c r="A132" s="3"/>
      <c r="B132" s="3"/>
      <c r="D132" s="3" t="s">
        <v>49</v>
      </c>
      <c r="E132" s="4" t="s">
        <v>50</v>
      </c>
      <c r="G132" s="4" t="s">
        <v>726</v>
      </c>
      <c r="H132" s="3">
        <v>4</v>
      </c>
      <c r="I132" s="3">
        <v>0</v>
      </c>
      <c r="J132" s="3">
        <f t="shared" ca="1" si="4"/>
        <v>0.51029960961855869</v>
      </c>
    </row>
    <row r="133" spans="1:10" ht="13.2">
      <c r="A133" s="3"/>
      <c r="B133" s="3"/>
      <c r="D133" s="3" t="s">
        <v>31</v>
      </c>
      <c r="E133" s="4" t="s">
        <v>32</v>
      </c>
      <c r="G133" s="4" t="s">
        <v>721</v>
      </c>
      <c r="H133" s="3">
        <v>4</v>
      </c>
      <c r="I133" s="3">
        <v>0</v>
      </c>
      <c r="J133" s="3">
        <f t="shared" ca="1" si="4"/>
        <v>0.64243833245331461</v>
      </c>
    </row>
    <row r="134" spans="1:10" ht="13.2">
      <c r="A134" s="3"/>
      <c r="D134" s="4" t="s">
        <v>692</v>
      </c>
      <c r="E134" s="4" t="s">
        <v>693</v>
      </c>
      <c r="G134" s="4" t="s">
        <v>881</v>
      </c>
      <c r="H134" s="3">
        <v>4</v>
      </c>
      <c r="I134" s="3">
        <v>1</v>
      </c>
      <c r="J134" s="3">
        <f t="shared" ca="1" si="4"/>
        <v>4.8000983197448166E-3</v>
      </c>
    </row>
    <row r="135" spans="1:10" ht="13.2">
      <c r="A135" s="3"/>
      <c r="B135" s="3"/>
      <c r="C135" s="4"/>
      <c r="D135" s="3"/>
      <c r="E135" s="3" t="s">
        <v>363</v>
      </c>
      <c r="F135" s="4" t="s">
        <v>364</v>
      </c>
      <c r="G135" s="4" t="s">
        <v>799</v>
      </c>
      <c r="H135" s="3">
        <v>4</v>
      </c>
      <c r="I135" s="3">
        <v>1</v>
      </c>
      <c r="J135" s="3">
        <f t="shared" ca="1" si="4"/>
        <v>0.14034100146429551</v>
      </c>
    </row>
    <row r="136" spans="1:10" ht="13.2">
      <c r="A136" s="3"/>
      <c r="D136" s="3" t="s">
        <v>669</v>
      </c>
      <c r="E136" s="4" t="s">
        <v>670</v>
      </c>
      <c r="G136" s="4" t="s">
        <v>876</v>
      </c>
      <c r="H136" s="3">
        <v>4</v>
      </c>
      <c r="I136" s="3">
        <v>1</v>
      </c>
      <c r="J136" s="3">
        <f t="shared" ca="1" si="4"/>
        <v>0.37330912048183662</v>
      </c>
    </row>
    <row r="137" spans="1:10" ht="13.2">
      <c r="A137" s="3"/>
      <c r="B137" s="3"/>
      <c r="C137" s="4"/>
      <c r="D137" s="3" t="s">
        <v>417</v>
      </c>
      <c r="E137" s="4" t="s">
        <v>418</v>
      </c>
      <c r="G137" s="4" t="s">
        <v>813</v>
      </c>
      <c r="H137" s="3">
        <v>4</v>
      </c>
      <c r="I137" s="3">
        <v>1</v>
      </c>
      <c r="J137" s="3">
        <f t="shared" ca="1" si="4"/>
        <v>0.21149603579735343</v>
      </c>
    </row>
    <row r="138" spans="1:10" ht="13.2">
      <c r="A138" s="3"/>
      <c r="C138" s="3" t="s">
        <v>654</v>
      </c>
      <c r="D138" s="5" t="s">
        <v>655</v>
      </c>
      <c r="G138" s="4" t="s">
        <v>871</v>
      </c>
      <c r="H138" s="3">
        <v>4</v>
      </c>
      <c r="I138" s="3">
        <v>1</v>
      </c>
      <c r="J138" s="3">
        <f t="shared" ca="1" si="4"/>
        <v>0.3396472762449616</v>
      </c>
    </row>
    <row r="139" spans="1:10" ht="13.2">
      <c r="A139" s="3"/>
      <c r="B139" s="3"/>
      <c r="D139" s="3" t="s">
        <v>98</v>
      </c>
      <c r="E139" s="4" t="s">
        <v>99</v>
      </c>
      <c r="G139" s="4" t="s">
        <v>895</v>
      </c>
      <c r="H139" s="3">
        <v>4</v>
      </c>
      <c r="I139" s="3">
        <v>1</v>
      </c>
      <c r="J139" s="3">
        <f t="shared" ca="1" si="4"/>
        <v>0.28934277941905062</v>
      </c>
    </row>
    <row r="140" spans="1:10" ht="13.2">
      <c r="A140" s="3"/>
      <c r="D140" s="4" t="s">
        <v>636</v>
      </c>
      <c r="E140" s="4" t="s">
        <v>637</v>
      </c>
      <c r="G140" s="4" t="s">
        <v>865</v>
      </c>
      <c r="H140" s="3">
        <v>4</v>
      </c>
      <c r="I140" s="3">
        <v>1</v>
      </c>
      <c r="J140" s="3">
        <f t="shared" ca="1" si="4"/>
        <v>0.43893951023806577</v>
      </c>
    </row>
    <row r="141" spans="1:10" ht="13.2">
      <c r="A141" s="3"/>
      <c r="D141" s="3" t="s">
        <v>191</v>
      </c>
      <c r="E141" s="4" t="s">
        <v>192</v>
      </c>
      <c r="G141" s="4" t="s">
        <v>759</v>
      </c>
      <c r="H141" s="9">
        <v>4</v>
      </c>
      <c r="I141" s="3">
        <v>1</v>
      </c>
      <c r="J141" s="3">
        <f t="shared" ca="1" si="4"/>
        <v>0.58724231762259249</v>
      </c>
    </row>
    <row r="142" spans="1:10" ht="13.2">
      <c r="A142" s="3"/>
      <c r="B142" s="3"/>
      <c r="C142" s="4"/>
      <c r="D142" s="3"/>
      <c r="E142" s="3" t="s">
        <v>402</v>
      </c>
      <c r="F142" s="4" t="s">
        <v>403</v>
      </c>
      <c r="G142" s="4" t="s">
        <v>808</v>
      </c>
      <c r="H142" s="3">
        <v>4</v>
      </c>
      <c r="I142" s="3">
        <v>1</v>
      </c>
      <c r="J142" s="3">
        <f t="shared" ca="1" si="4"/>
        <v>0.6350731087585344</v>
      </c>
    </row>
    <row r="143" spans="1:10" ht="13.2">
      <c r="A143" s="3"/>
      <c r="B143" s="3"/>
      <c r="D143" s="3" t="s">
        <v>491</v>
      </c>
      <c r="E143" s="4" t="s">
        <v>492</v>
      </c>
      <c r="G143" s="4" t="s">
        <v>826</v>
      </c>
      <c r="H143" s="3">
        <v>4</v>
      </c>
      <c r="I143" s="3">
        <v>1</v>
      </c>
      <c r="J143" s="3">
        <f t="shared" ca="1" si="4"/>
        <v>0.52588898650188431</v>
      </c>
    </row>
    <row r="144" spans="1:10" ht="13.2">
      <c r="A144" s="3"/>
      <c r="D144" s="3" t="s">
        <v>145</v>
      </c>
      <c r="E144" s="4" t="s">
        <v>146</v>
      </c>
      <c r="G144" s="4" t="s">
        <v>749</v>
      </c>
      <c r="H144" s="9">
        <v>4</v>
      </c>
      <c r="I144" s="3">
        <v>1</v>
      </c>
      <c r="J144" s="3">
        <f t="shared" ca="1" si="4"/>
        <v>0.62557080036543167</v>
      </c>
    </row>
    <row r="145" spans="1:10" ht="13.2">
      <c r="A145" s="3"/>
      <c r="B145" s="3"/>
      <c r="D145" s="3" t="s">
        <v>120</v>
      </c>
      <c r="E145" s="4" t="s">
        <v>121</v>
      </c>
      <c r="G145" s="4" t="s">
        <v>744</v>
      </c>
      <c r="H145" s="9">
        <v>4</v>
      </c>
      <c r="I145" s="3">
        <v>1</v>
      </c>
      <c r="J145" s="3">
        <f t="shared" ca="1" si="4"/>
        <v>0.4048280354474687</v>
      </c>
    </row>
    <row r="146" spans="1:10" ht="13.2">
      <c r="A146" s="3"/>
      <c r="B146" s="3"/>
      <c r="D146" s="3"/>
      <c r="E146" s="3" t="s">
        <v>440</v>
      </c>
      <c r="F146" s="4" t="s">
        <v>441</v>
      </c>
      <c r="G146" s="4" t="s">
        <v>816</v>
      </c>
      <c r="H146" s="3">
        <v>4</v>
      </c>
      <c r="I146" s="3">
        <v>1</v>
      </c>
      <c r="J146" s="3">
        <f t="shared" ca="1" si="4"/>
        <v>0.64496034449451167</v>
      </c>
    </row>
    <row r="147" spans="1:10" ht="13.2">
      <c r="A147" s="3"/>
      <c r="B147" s="3"/>
      <c r="C147" s="4"/>
      <c r="D147" s="4" t="s">
        <v>618</v>
      </c>
      <c r="E147" s="4" t="s">
        <v>619</v>
      </c>
      <c r="G147" s="4" t="s">
        <v>860</v>
      </c>
      <c r="H147" s="3">
        <v>4</v>
      </c>
      <c r="I147" s="3">
        <v>1</v>
      </c>
      <c r="J147" s="3">
        <f t="shared" ca="1" si="4"/>
        <v>0.43614030043222363</v>
      </c>
    </row>
    <row r="148" spans="1:10" ht="13.2">
      <c r="A148" s="3"/>
      <c r="B148" s="3"/>
      <c r="D148" s="3" t="s">
        <v>462</v>
      </c>
      <c r="E148" s="4" t="s">
        <v>463</v>
      </c>
      <c r="G148" s="4" t="s">
        <v>821</v>
      </c>
      <c r="H148" s="3">
        <v>4</v>
      </c>
      <c r="I148" s="3">
        <v>1</v>
      </c>
      <c r="J148" s="3">
        <f t="shared" ca="1" si="4"/>
        <v>2.234477193424067E-3</v>
      </c>
    </row>
    <row r="149" spans="1:10" ht="13.2">
      <c r="A149" s="3"/>
      <c r="D149" s="3" t="s">
        <v>169</v>
      </c>
      <c r="E149" s="4" t="s">
        <v>170</v>
      </c>
      <c r="G149" s="4" t="s">
        <v>754</v>
      </c>
      <c r="H149" s="9">
        <v>4</v>
      </c>
      <c r="I149" s="3">
        <v>1</v>
      </c>
      <c r="J149" s="3">
        <f t="shared" ca="1" si="4"/>
        <v>0.73059543957741435</v>
      </c>
    </row>
    <row r="150" spans="1:10" ht="13.2">
      <c r="A150" s="3"/>
      <c r="B150" s="3"/>
      <c r="D150" s="3" t="s">
        <v>506</v>
      </c>
      <c r="E150" s="5" t="s">
        <v>507</v>
      </c>
      <c r="G150" s="4" t="s">
        <v>831</v>
      </c>
      <c r="H150" s="3">
        <v>4</v>
      </c>
      <c r="I150" s="3">
        <v>1</v>
      </c>
      <c r="J150" s="3">
        <f t="shared" ca="1" si="4"/>
        <v>0.53684189850418573</v>
      </c>
    </row>
    <row r="151" spans="1:10" ht="13.2">
      <c r="A151" s="3"/>
      <c r="B151" s="3"/>
      <c r="C151" s="4"/>
      <c r="D151" s="5"/>
      <c r="E151" s="3" t="s">
        <v>380</v>
      </c>
      <c r="F151" s="4" t="s">
        <v>381</v>
      </c>
      <c r="G151" s="4" t="s">
        <v>803</v>
      </c>
      <c r="H151" s="3">
        <v>4</v>
      </c>
      <c r="I151" s="3">
        <v>1</v>
      </c>
      <c r="J151" s="3">
        <f t="shared" ca="1" si="4"/>
        <v>0.93527256595392505</v>
      </c>
    </row>
    <row r="152" spans="1:10" ht="13.2">
      <c r="A152" s="3"/>
      <c r="B152" s="3"/>
      <c r="D152" s="3" t="s">
        <v>16</v>
      </c>
      <c r="E152" s="4" t="s">
        <v>17</v>
      </c>
      <c r="G152" s="4" t="s">
        <v>717</v>
      </c>
      <c r="H152" s="3">
        <v>5</v>
      </c>
      <c r="I152" s="3">
        <v>0</v>
      </c>
      <c r="J152" s="3">
        <f t="shared" ca="1" si="4"/>
        <v>0.1882319889234122</v>
      </c>
    </row>
    <row r="153" spans="1:10" ht="13.2">
      <c r="A153" s="3"/>
      <c r="B153" s="3"/>
      <c r="D153" s="3"/>
      <c r="E153" s="3" t="s">
        <v>292</v>
      </c>
      <c r="F153" s="4" t="s">
        <v>293</v>
      </c>
      <c r="G153" s="4" t="s">
        <v>784</v>
      </c>
      <c r="H153" s="3">
        <v>5</v>
      </c>
      <c r="I153" s="3">
        <v>0</v>
      </c>
      <c r="J153" s="3">
        <f t="shared" ca="1" si="4"/>
        <v>0.37353394111127391</v>
      </c>
    </row>
    <row r="154" spans="1:10" ht="13.2">
      <c r="A154" s="3"/>
      <c r="B154" s="3"/>
      <c r="D154" s="3" t="s">
        <v>217</v>
      </c>
      <c r="E154" s="5" t="s">
        <v>218</v>
      </c>
      <c r="G154" s="4" t="s">
        <v>765</v>
      </c>
      <c r="H154" s="3">
        <v>5</v>
      </c>
      <c r="I154" s="3">
        <v>0</v>
      </c>
      <c r="J154" s="3">
        <f t="shared" ca="1" si="4"/>
        <v>0.20723079812153877</v>
      </c>
    </row>
    <row r="155" spans="1:10" ht="13.2">
      <c r="A155" s="3"/>
      <c r="B155" s="3"/>
      <c r="D155" s="3" t="s">
        <v>327</v>
      </c>
      <c r="E155" s="4" t="s">
        <v>328</v>
      </c>
      <c r="G155" s="4" t="s">
        <v>793</v>
      </c>
      <c r="H155" s="3">
        <v>5</v>
      </c>
      <c r="I155" s="3">
        <v>0</v>
      </c>
      <c r="J155" s="3">
        <f t="shared" ca="1" si="4"/>
        <v>0.58451912161193076</v>
      </c>
    </row>
    <row r="156" spans="1:10" ht="13.2">
      <c r="A156" s="3"/>
      <c r="B156" s="3"/>
      <c r="C156" s="3" t="s">
        <v>589</v>
      </c>
      <c r="D156" s="4" t="s">
        <v>590</v>
      </c>
      <c r="G156" s="4" t="s">
        <v>853</v>
      </c>
      <c r="H156" s="3">
        <v>5</v>
      </c>
      <c r="I156" s="3">
        <v>0</v>
      </c>
      <c r="J156" s="3">
        <f t="shared" ca="1" si="4"/>
        <v>0.67649531846091182</v>
      </c>
    </row>
    <row r="157" spans="1:10" ht="13.2">
      <c r="A157" s="3"/>
      <c r="B157" s="3"/>
      <c r="D157" s="3"/>
      <c r="E157" s="3" t="s">
        <v>235</v>
      </c>
      <c r="F157" s="5" t="s">
        <v>236</v>
      </c>
      <c r="G157" s="4" t="s">
        <v>770</v>
      </c>
      <c r="H157" s="3">
        <v>5</v>
      </c>
      <c r="I157" s="3">
        <v>0</v>
      </c>
      <c r="J157" s="3">
        <f t="shared" ca="1" si="4"/>
        <v>0.72932560639030664</v>
      </c>
    </row>
    <row r="158" spans="1:10" ht="13.2">
      <c r="A158" s="3"/>
      <c r="B158" s="3"/>
      <c r="D158" s="3"/>
      <c r="E158" s="3" t="s">
        <v>312</v>
      </c>
      <c r="F158" s="4" t="s">
        <v>313</v>
      </c>
      <c r="G158" s="4" t="s">
        <v>789</v>
      </c>
      <c r="H158" s="3">
        <v>5</v>
      </c>
      <c r="I158" s="3">
        <v>0</v>
      </c>
      <c r="J158" s="3">
        <f t="shared" ca="1" si="4"/>
        <v>7.3249925878060784E-2</v>
      </c>
    </row>
    <row r="159" spans="1:10" ht="13.2">
      <c r="A159" s="3"/>
      <c r="B159" s="3"/>
      <c r="D159" s="3" t="s">
        <v>86</v>
      </c>
      <c r="E159" s="4" t="s">
        <v>87</v>
      </c>
      <c r="G159" s="4" t="s">
        <v>735</v>
      </c>
      <c r="H159" s="3">
        <v>5</v>
      </c>
      <c r="I159" s="3">
        <v>0</v>
      </c>
      <c r="J159" s="3">
        <f t="shared" ca="1" si="4"/>
        <v>9.5368042054279178E-2</v>
      </c>
    </row>
    <row r="160" spans="1:10" ht="13.2">
      <c r="A160" s="3"/>
      <c r="B160" s="3"/>
      <c r="D160" s="3" t="s">
        <v>34</v>
      </c>
      <c r="E160" s="4" t="s">
        <v>35</v>
      </c>
      <c r="G160" s="4" t="s">
        <v>722</v>
      </c>
      <c r="H160" s="3">
        <v>5</v>
      </c>
      <c r="I160" s="3">
        <v>0</v>
      </c>
      <c r="J160" s="3">
        <f t="shared" ca="1" si="4"/>
        <v>0.1908646840821725</v>
      </c>
    </row>
    <row r="161" spans="1:10" ht="13.2">
      <c r="A161" s="3"/>
      <c r="B161" s="3"/>
      <c r="C161" s="4"/>
      <c r="D161" s="4" t="s">
        <v>347</v>
      </c>
      <c r="E161" s="4" t="s">
        <v>348</v>
      </c>
      <c r="G161" s="4" t="s">
        <v>797</v>
      </c>
      <c r="H161" s="3">
        <v>5</v>
      </c>
      <c r="I161" s="3">
        <v>0</v>
      </c>
      <c r="J161" s="3">
        <f t="shared" ca="1" si="4"/>
        <v>0.2087345192771034</v>
      </c>
    </row>
    <row r="162" spans="1:10" ht="13.2">
      <c r="A162" s="3"/>
      <c r="B162" s="3"/>
      <c r="D162" s="3"/>
      <c r="E162" s="4" t="s">
        <v>275</v>
      </c>
      <c r="F162" s="4" t="s">
        <v>276</v>
      </c>
      <c r="G162" s="4" t="s">
        <v>779</v>
      </c>
      <c r="H162" s="3">
        <v>5</v>
      </c>
      <c r="I162" s="3">
        <v>0</v>
      </c>
      <c r="J162" s="3">
        <f t="shared" ref="J162:J187" ca="1" si="5">RAND()</f>
        <v>0.86036878195702893</v>
      </c>
    </row>
    <row r="163" spans="1:10" ht="13.2">
      <c r="A163" s="3"/>
      <c r="B163" s="3"/>
      <c r="D163" s="3" t="s">
        <v>604</v>
      </c>
      <c r="E163" s="4" t="s">
        <v>605</v>
      </c>
      <c r="G163" s="4" t="s">
        <v>857</v>
      </c>
      <c r="H163" s="3">
        <v>5</v>
      </c>
      <c r="I163" s="3">
        <v>0</v>
      </c>
      <c r="J163" s="3">
        <f t="shared" ca="1" si="5"/>
        <v>0.5014149822124313</v>
      </c>
    </row>
    <row r="164" spans="1:10" ht="13.2">
      <c r="A164" s="3"/>
      <c r="B164" s="3"/>
      <c r="D164" s="4" t="s">
        <v>536</v>
      </c>
      <c r="E164" s="4" t="s">
        <v>537</v>
      </c>
      <c r="G164" s="4" t="s">
        <v>839</v>
      </c>
      <c r="H164" s="3">
        <v>5</v>
      </c>
      <c r="I164" s="3">
        <v>0</v>
      </c>
      <c r="J164" s="3">
        <f t="shared" ca="1" si="5"/>
        <v>0.22029687144649646</v>
      </c>
    </row>
    <row r="165" spans="1:10" ht="13.2">
      <c r="A165" s="3"/>
      <c r="B165" s="3"/>
      <c r="D165" s="3"/>
      <c r="E165" s="3" t="s">
        <v>69</v>
      </c>
      <c r="F165" s="4" t="s">
        <v>70</v>
      </c>
      <c r="G165" s="4" t="s">
        <v>732</v>
      </c>
      <c r="H165" s="3">
        <v>5</v>
      </c>
      <c r="I165" s="3">
        <v>0</v>
      </c>
      <c r="J165" s="3">
        <f t="shared" ca="1" si="5"/>
        <v>0.28936100493386829</v>
      </c>
    </row>
    <row r="166" spans="1:10" ht="13.2">
      <c r="A166" s="3"/>
      <c r="B166" s="3"/>
      <c r="D166" s="3" t="s">
        <v>52</v>
      </c>
      <c r="E166" s="4" t="s">
        <v>53</v>
      </c>
      <c r="G166" s="4" t="s">
        <v>727</v>
      </c>
      <c r="H166" s="3">
        <v>5</v>
      </c>
      <c r="I166" s="3">
        <v>0</v>
      </c>
      <c r="J166" s="3">
        <f t="shared" ca="1" si="5"/>
        <v>0.26378773111540788</v>
      </c>
    </row>
    <row r="167" spans="1:10" ht="13.2">
      <c r="A167" s="3"/>
      <c r="B167" s="3"/>
      <c r="D167" s="3" t="s">
        <v>257</v>
      </c>
      <c r="E167" s="4" t="s">
        <v>258</v>
      </c>
      <c r="G167" s="4" t="s">
        <v>259</v>
      </c>
      <c r="H167" s="3">
        <v>5</v>
      </c>
      <c r="I167" s="3">
        <v>0</v>
      </c>
      <c r="J167" s="3">
        <f t="shared" ca="1" si="5"/>
        <v>0.88980039026857982</v>
      </c>
    </row>
    <row r="168" spans="1:10" ht="13.2">
      <c r="A168" s="3"/>
      <c r="B168" s="3"/>
      <c r="D168" s="4" t="s">
        <v>572</v>
      </c>
      <c r="E168" s="4" t="s">
        <v>573</v>
      </c>
      <c r="G168" s="4" t="s">
        <v>848</v>
      </c>
      <c r="H168" s="3">
        <v>5</v>
      </c>
      <c r="I168" s="3">
        <v>0</v>
      </c>
      <c r="J168" s="3">
        <f t="shared" ca="1" si="5"/>
        <v>1.2751596619344996E-2</v>
      </c>
    </row>
    <row r="169" spans="1:10" ht="13.2">
      <c r="A169" s="3"/>
      <c r="B169" s="3"/>
      <c r="D169" s="4" t="s">
        <v>554</v>
      </c>
      <c r="E169" s="4" t="s">
        <v>555</v>
      </c>
      <c r="G169" s="4" t="s">
        <v>844</v>
      </c>
      <c r="H169" s="3">
        <v>5</v>
      </c>
      <c r="I169" s="3">
        <v>0</v>
      </c>
      <c r="J169" s="3">
        <f t="shared" ca="1" si="5"/>
        <v>8.6744142086397025E-2</v>
      </c>
    </row>
    <row r="170" spans="1:10" ht="13.2">
      <c r="A170" s="3"/>
      <c r="D170" s="3" t="s">
        <v>197</v>
      </c>
      <c r="E170" s="4" t="s">
        <v>198</v>
      </c>
      <c r="G170" s="4" t="s">
        <v>760</v>
      </c>
      <c r="H170" s="9">
        <v>5</v>
      </c>
      <c r="I170" s="3">
        <v>1</v>
      </c>
      <c r="J170" s="3">
        <f t="shared" ca="1" si="5"/>
        <v>3.8276229910317427E-2</v>
      </c>
    </row>
    <row r="171" spans="1:10" ht="13.2">
      <c r="A171" s="3"/>
      <c r="B171" s="3"/>
      <c r="C171" s="4" t="s">
        <v>621</v>
      </c>
      <c r="D171" s="4" t="s">
        <v>622</v>
      </c>
      <c r="G171" s="4" t="s">
        <v>861</v>
      </c>
      <c r="H171" s="3">
        <v>5</v>
      </c>
      <c r="I171" s="3">
        <v>1</v>
      </c>
      <c r="J171" s="3">
        <f t="shared" ca="1" si="5"/>
        <v>0.16855629674303008</v>
      </c>
    </row>
    <row r="172" spans="1:10" ht="13.2">
      <c r="A172" s="3"/>
      <c r="B172" s="3"/>
      <c r="D172" s="3" t="s">
        <v>494</v>
      </c>
      <c r="E172" s="4" t="s">
        <v>495</v>
      </c>
      <c r="G172" s="4" t="s">
        <v>827</v>
      </c>
      <c r="H172" s="3">
        <v>5</v>
      </c>
      <c r="I172" s="3">
        <v>1</v>
      </c>
      <c r="J172" s="3">
        <f t="shared" ca="1" si="5"/>
        <v>0.88696359365689403</v>
      </c>
    </row>
    <row r="173" spans="1:10" ht="13.2">
      <c r="A173" s="3"/>
      <c r="B173" s="3"/>
      <c r="D173" s="3" t="s">
        <v>105</v>
      </c>
      <c r="E173" s="4" t="s">
        <v>106</v>
      </c>
      <c r="G173" s="4" t="s">
        <v>740</v>
      </c>
      <c r="H173" s="3">
        <v>5</v>
      </c>
      <c r="I173" s="3">
        <v>1</v>
      </c>
      <c r="J173" s="3">
        <f t="shared" ca="1" si="5"/>
        <v>0.43267346104717064</v>
      </c>
    </row>
    <row r="174" spans="1:10" ht="13.2">
      <c r="A174" s="3"/>
      <c r="D174" s="3" t="s">
        <v>151</v>
      </c>
      <c r="E174" s="4" t="s">
        <v>152</v>
      </c>
      <c r="G174" s="4" t="s">
        <v>750</v>
      </c>
      <c r="H174" s="9">
        <v>5</v>
      </c>
      <c r="I174" s="3">
        <v>1</v>
      </c>
      <c r="J174" s="3">
        <f t="shared" ca="1" si="5"/>
        <v>0.68967157734172169</v>
      </c>
    </row>
    <row r="175" spans="1:10" ht="13.2">
      <c r="A175" s="3"/>
      <c r="D175" s="3" t="s">
        <v>172</v>
      </c>
      <c r="E175" s="4" t="s">
        <v>173</v>
      </c>
      <c r="G175" s="4" t="s">
        <v>755</v>
      </c>
      <c r="H175" s="9">
        <v>5</v>
      </c>
      <c r="I175" s="3">
        <v>1</v>
      </c>
      <c r="J175" s="3">
        <f t="shared" ca="1" si="5"/>
        <v>7.0898105824586444E-2</v>
      </c>
    </row>
    <row r="176" spans="1:10" ht="13.2">
      <c r="A176" s="3"/>
      <c r="B176" s="3"/>
      <c r="D176" s="3"/>
      <c r="E176" s="3" t="s">
        <v>443</v>
      </c>
      <c r="F176" s="4" t="s">
        <v>444</v>
      </c>
      <c r="G176" s="4" t="s">
        <v>817</v>
      </c>
      <c r="H176" s="3">
        <v>5</v>
      </c>
      <c r="I176" s="3">
        <v>1</v>
      </c>
      <c r="J176" s="3">
        <f t="shared" ca="1" si="5"/>
        <v>0.8475117410426124</v>
      </c>
    </row>
    <row r="177" spans="1:10" ht="13.2">
      <c r="A177" s="3"/>
      <c r="B177" s="3"/>
      <c r="D177" s="3"/>
      <c r="E177" s="3" t="s">
        <v>509</v>
      </c>
      <c r="F177" s="4" t="s">
        <v>510</v>
      </c>
      <c r="G177" s="4" t="s">
        <v>832</v>
      </c>
      <c r="H177" s="3">
        <v>5</v>
      </c>
      <c r="I177" s="3">
        <v>1</v>
      </c>
      <c r="J177" s="3">
        <f t="shared" ca="1" si="5"/>
        <v>0.34923527265414278</v>
      </c>
    </row>
    <row r="178" spans="1:10" ht="13.2">
      <c r="A178" s="3"/>
      <c r="B178" s="3"/>
      <c r="C178" s="3" t="s">
        <v>466</v>
      </c>
      <c r="D178" s="4" t="s">
        <v>467</v>
      </c>
      <c r="G178" s="4" t="s">
        <v>822</v>
      </c>
      <c r="H178" s="3">
        <v>5</v>
      </c>
      <c r="I178" s="3">
        <v>1</v>
      </c>
      <c r="J178" s="3">
        <f t="shared" ca="1" si="5"/>
        <v>4.1974052158127995E-2</v>
      </c>
    </row>
    <row r="179" spans="1:10" ht="13.2">
      <c r="A179" s="3"/>
      <c r="C179" s="3" t="s">
        <v>658</v>
      </c>
      <c r="D179" s="5" t="s">
        <v>659</v>
      </c>
      <c r="G179" s="4" t="s">
        <v>872</v>
      </c>
      <c r="H179" s="3">
        <v>5</v>
      </c>
      <c r="I179" s="3">
        <v>1</v>
      </c>
      <c r="J179" s="3">
        <f t="shared" ca="1" si="5"/>
        <v>0.71207770798859171</v>
      </c>
    </row>
    <row r="180" spans="1:10" ht="13.2">
      <c r="A180" s="3"/>
      <c r="B180" s="3"/>
      <c r="C180" s="4"/>
      <c r="D180" s="3"/>
      <c r="E180" s="3" t="s">
        <v>366</v>
      </c>
      <c r="F180" s="4" t="s">
        <v>367</v>
      </c>
      <c r="G180" s="4" t="s">
        <v>800</v>
      </c>
      <c r="H180" s="3">
        <v>5</v>
      </c>
      <c r="I180" s="3">
        <v>1</v>
      </c>
      <c r="J180" s="3">
        <f t="shared" ca="1" si="5"/>
        <v>0.53475222870095995</v>
      </c>
    </row>
    <row r="181" spans="1:10" ht="13.2">
      <c r="A181" s="3"/>
      <c r="D181" s="4" t="s">
        <v>677</v>
      </c>
      <c r="E181" s="4" t="s">
        <v>678</v>
      </c>
      <c r="G181" s="4" t="s">
        <v>877</v>
      </c>
      <c r="H181" s="3">
        <v>5</v>
      </c>
      <c r="I181" s="3">
        <v>1</v>
      </c>
      <c r="J181" s="3">
        <f t="shared" ca="1" si="5"/>
        <v>0.96895842799505916</v>
      </c>
    </row>
    <row r="182" spans="1:10" ht="13.2">
      <c r="A182" s="3"/>
      <c r="D182" s="4" t="s">
        <v>698</v>
      </c>
      <c r="E182" s="5" t="s">
        <v>699</v>
      </c>
      <c r="G182" s="4" t="s">
        <v>882</v>
      </c>
      <c r="H182" s="3">
        <v>5</v>
      </c>
      <c r="I182" s="3">
        <v>1</v>
      </c>
      <c r="J182" s="3">
        <f t="shared" ca="1" si="5"/>
        <v>2.5074171772545784E-2</v>
      </c>
    </row>
    <row r="183" spans="1:10" ht="13.2">
      <c r="A183" s="3"/>
      <c r="B183" s="3"/>
      <c r="C183" s="4"/>
      <c r="D183" s="3"/>
      <c r="E183" s="3" t="s">
        <v>405</v>
      </c>
      <c r="F183" s="4" t="s">
        <v>406</v>
      </c>
      <c r="G183" s="4" t="s">
        <v>809</v>
      </c>
      <c r="H183" s="3">
        <v>5</v>
      </c>
      <c r="I183" s="3">
        <v>1</v>
      </c>
      <c r="J183" s="3">
        <f t="shared" ca="1" si="5"/>
        <v>0.68406529658206705</v>
      </c>
    </row>
    <row r="184" spans="1:10" ht="13.2">
      <c r="A184" s="3"/>
      <c r="E184" s="4" t="s">
        <v>866</v>
      </c>
      <c r="F184" s="4" t="s">
        <v>639</v>
      </c>
      <c r="G184" s="4" t="s">
        <v>867</v>
      </c>
      <c r="H184" s="3">
        <v>5</v>
      </c>
      <c r="I184" s="3">
        <v>1</v>
      </c>
      <c r="J184" s="3">
        <f t="shared" ca="1" si="5"/>
        <v>0.17613547479551173</v>
      </c>
    </row>
    <row r="185" spans="1:10" ht="13.2">
      <c r="A185" s="3"/>
      <c r="B185" s="3"/>
      <c r="C185" s="4"/>
      <c r="D185" s="3" t="s">
        <v>385</v>
      </c>
      <c r="E185" s="4" t="s">
        <v>386</v>
      </c>
      <c r="G185" s="4" t="s">
        <v>804</v>
      </c>
      <c r="H185" s="3">
        <v>5</v>
      </c>
      <c r="I185" s="3">
        <v>1</v>
      </c>
      <c r="J185" s="3">
        <f t="shared" ca="1" si="5"/>
        <v>0.30484664897111213</v>
      </c>
    </row>
    <row r="186" spans="1:10" ht="13.2">
      <c r="A186" s="3"/>
      <c r="B186" s="3"/>
      <c r="D186" s="3" t="s">
        <v>127</v>
      </c>
      <c r="E186" s="4" t="s">
        <v>128</v>
      </c>
      <c r="G186" s="4" t="s">
        <v>745</v>
      </c>
      <c r="H186" s="9">
        <v>5</v>
      </c>
      <c r="I186" s="3">
        <v>1</v>
      </c>
      <c r="J186" s="3">
        <f t="shared" ca="1" si="5"/>
        <v>0.16277854031175343</v>
      </c>
    </row>
    <row r="187" spans="1:10" ht="13.2">
      <c r="A187" s="3"/>
      <c r="B187" s="3"/>
      <c r="C187" s="4"/>
      <c r="D187" s="3" t="s">
        <v>420</v>
      </c>
      <c r="E187" s="4" t="s">
        <v>421</v>
      </c>
      <c r="G187" s="4" t="s">
        <v>814</v>
      </c>
      <c r="H187" s="3">
        <v>5</v>
      </c>
      <c r="I187" s="3">
        <v>1</v>
      </c>
      <c r="J187" s="3">
        <f t="shared" ca="1" si="5"/>
        <v>4.6164375719537354E-4</v>
      </c>
    </row>
    <row r="188" spans="1:10" ht="13.2">
      <c r="A188" s="3"/>
      <c r="B188" s="3"/>
      <c r="C188" s="4"/>
      <c r="J188" s="3"/>
    </row>
    <row r="189" spans="1:10" ht="13.2">
      <c r="A189" s="3"/>
      <c r="B189" s="3"/>
      <c r="C189" s="4"/>
      <c r="D189" s="3"/>
      <c r="G189" s="24"/>
      <c r="H189" s="24"/>
      <c r="I189" s="3"/>
      <c r="J189" s="3"/>
    </row>
    <row r="190" spans="1:10" ht="13.2">
      <c r="A190" s="3"/>
    </row>
    <row r="191" spans="1:10" ht="13.2">
      <c r="A191" s="3"/>
    </row>
    <row r="192" spans="1:10" ht="13.2">
      <c r="A192" s="3"/>
    </row>
    <row r="193" spans="1:1" ht="13.2">
      <c r="A193" s="3"/>
    </row>
    <row r="194" spans="1:1" ht="13.2">
      <c r="A194" s="3"/>
    </row>
    <row r="195" spans="1:1" ht="13.2">
      <c r="A195" s="3"/>
    </row>
    <row r="196" spans="1:1" ht="13.2">
      <c r="A196" s="3"/>
    </row>
    <row r="197" spans="1:1" ht="13.2">
      <c r="A197" s="3"/>
    </row>
    <row r="198" spans="1:1" ht="13.2">
      <c r="A198" s="3"/>
    </row>
    <row r="199" spans="1:1" ht="13.2">
      <c r="A199" s="3"/>
    </row>
    <row r="200" spans="1:1" ht="13.2">
      <c r="A200" s="3"/>
    </row>
    <row r="201" spans="1:1" ht="13.2">
      <c r="A201" s="3"/>
    </row>
    <row r="202" spans="1:1" ht="13.2">
      <c r="A202" s="3"/>
    </row>
    <row r="203" spans="1:1" ht="13.2">
      <c r="A203" s="3"/>
    </row>
    <row r="204" spans="1:1" ht="13.2">
      <c r="A204" s="3"/>
    </row>
    <row r="205" spans="1:1" ht="13.2">
      <c r="A205" s="3"/>
    </row>
    <row r="206" spans="1:1" ht="13.2">
      <c r="A206" s="3"/>
    </row>
    <row r="207" spans="1:1" ht="13.2">
      <c r="A207" s="3"/>
    </row>
    <row r="208" spans="1:1" ht="13.2">
      <c r="A208" s="3"/>
    </row>
    <row r="209" spans="1:1" ht="13.2">
      <c r="A209" s="3"/>
    </row>
    <row r="210" spans="1:1" ht="13.2">
      <c r="A210" s="3"/>
    </row>
    <row r="211" spans="1:1" ht="13.2">
      <c r="A211" s="3"/>
    </row>
    <row r="212" spans="1:1" ht="13.2">
      <c r="A212" s="3"/>
    </row>
    <row r="213" spans="1:1" ht="13.2">
      <c r="A213" s="3"/>
    </row>
    <row r="214" spans="1:1" ht="13.2">
      <c r="A214" s="3"/>
    </row>
    <row r="215" spans="1:1" ht="13.2">
      <c r="A215" s="3"/>
    </row>
    <row r="216" spans="1:1" ht="13.2">
      <c r="A216" s="3"/>
    </row>
    <row r="217" spans="1:1" ht="13.2">
      <c r="A217" s="3"/>
    </row>
    <row r="218" spans="1:1" ht="13.2">
      <c r="A218" s="3"/>
    </row>
    <row r="219" spans="1:1" ht="13.2">
      <c r="A219" s="3"/>
    </row>
    <row r="220" spans="1:1" ht="13.2">
      <c r="A220" s="3"/>
    </row>
    <row r="221" spans="1:1" ht="13.2">
      <c r="A221" s="3"/>
    </row>
    <row r="222" spans="1:1" ht="13.2">
      <c r="A222" s="3"/>
    </row>
    <row r="223" spans="1:1" ht="13.2">
      <c r="A223" s="3"/>
    </row>
    <row r="224" spans="1:1" ht="13.2">
      <c r="A224" s="3"/>
    </row>
    <row r="225" spans="1:1" ht="13.2">
      <c r="A225" s="3"/>
    </row>
    <row r="226" spans="1:1" ht="13.2">
      <c r="A226" s="3"/>
    </row>
    <row r="227" spans="1:1" ht="13.2">
      <c r="A227" s="3"/>
    </row>
    <row r="228" spans="1:1" ht="13.2">
      <c r="A228" s="3"/>
    </row>
    <row r="229" spans="1:1" ht="13.2">
      <c r="A229" s="3"/>
    </row>
    <row r="230" spans="1:1" ht="13.2">
      <c r="A230" s="3"/>
    </row>
    <row r="231" spans="1:1" ht="13.2">
      <c r="A231" s="3"/>
    </row>
    <row r="232" spans="1:1" ht="13.2">
      <c r="A232" s="3"/>
    </row>
    <row r="233" spans="1:1" ht="13.2">
      <c r="A233" s="3"/>
    </row>
    <row r="234" spans="1:1" ht="13.2">
      <c r="A234" s="3"/>
    </row>
    <row r="235" spans="1:1" ht="13.2">
      <c r="A235" s="3"/>
    </row>
    <row r="236" spans="1:1" ht="13.2">
      <c r="A236" s="3"/>
    </row>
    <row r="237" spans="1:1" ht="13.2">
      <c r="A237" s="3"/>
    </row>
    <row r="238" spans="1:1" ht="13.2">
      <c r="A238" s="3"/>
    </row>
    <row r="239" spans="1:1" ht="13.2">
      <c r="A239" s="3"/>
    </row>
    <row r="240" spans="1:1" ht="13.2">
      <c r="A240" s="3"/>
    </row>
    <row r="241" spans="1:1" ht="13.2">
      <c r="A241" s="3"/>
    </row>
    <row r="242" spans="1:1" ht="13.2">
      <c r="A242" s="3"/>
    </row>
    <row r="243" spans="1:1" ht="13.2">
      <c r="A243" s="3"/>
    </row>
    <row r="244" spans="1:1" ht="13.2">
      <c r="A244" s="3"/>
    </row>
    <row r="245" spans="1:1" ht="13.2">
      <c r="A245" s="3"/>
    </row>
    <row r="246" spans="1:1" ht="13.2">
      <c r="A246" s="3"/>
    </row>
    <row r="247" spans="1:1" ht="13.2">
      <c r="A247" s="3"/>
    </row>
    <row r="248" spans="1:1" ht="13.2">
      <c r="A248" s="3"/>
    </row>
    <row r="249" spans="1:1" ht="13.2">
      <c r="A249" s="3"/>
    </row>
    <row r="250" spans="1:1" ht="13.2">
      <c r="A250" s="3"/>
    </row>
    <row r="251" spans="1:1" ht="13.2">
      <c r="A251" s="3"/>
    </row>
    <row r="252" spans="1:1" ht="13.2">
      <c r="A252" s="3"/>
    </row>
    <row r="253" spans="1:1" ht="13.2">
      <c r="A253" s="3"/>
    </row>
    <row r="254" spans="1:1" ht="13.2">
      <c r="A254" s="3"/>
    </row>
    <row r="255" spans="1:1" ht="13.2">
      <c r="A255" s="3"/>
    </row>
    <row r="256" spans="1:1" ht="13.2">
      <c r="A256" s="3"/>
    </row>
    <row r="257" spans="1:1" ht="13.2">
      <c r="A257" s="3"/>
    </row>
    <row r="258" spans="1:1" ht="13.2">
      <c r="A258" s="3"/>
    </row>
    <row r="259" spans="1:1" ht="13.2">
      <c r="A259" s="3"/>
    </row>
    <row r="260" spans="1:1" ht="13.2">
      <c r="A260" s="3"/>
    </row>
    <row r="261" spans="1:1" ht="13.2">
      <c r="A261" s="3"/>
    </row>
    <row r="262" spans="1:1" ht="13.2">
      <c r="A262" s="3"/>
    </row>
    <row r="263" spans="1:1" ht="13.2">
      <c r="A263" s="3"/>
    </row>
    <row r="264" spans="1:1" ht="13.2">
      <c r="A264" s="3"/>
    </row>
    <row r="265" spans="1:1" ht="13.2">
      <c r="A265" s="3"/>
    </row>
    <row r="266" spans="1:1" ht="13.2">
      <c r="A266" s="3"/>
    </row>
    <row r="267" spans="1:1" ht="13.2">
      <c r="A267" s="3"/>
    </row>
    <row r="268" spans="1:1" ht="13.2">
      <c r="A268" s="3"/>
    </row>
    <row r="269" spans="1:1" ht="13.2">
      <c r="A269" s="3"/>
    </row>
    <row r="270" spans="1:1" ht="13.2">
      <c r="A270" s="3"/>
    </row>
    <row r="271" spans="1:1" ht="13.2">
      <c r="A271" s="3"/>
    </row>
    <row r="272" spans="1:1" ht="13.2">
      <c r="A272" s="3"/>
    </row>
    <row r="273" spans="1:1" ht="13.2">
      <c r="A273" s="3"/>
    </row>
    <row r="274" spans="1:1" ht="13.2">
      <c r="A274" s="3"/>
    </row>
    <row r="275" spans="1:1" ht="13.2">
      <c r="A275" s="3"/>
    </row>
    <row r="276" spans="1:1" ht="13.2">
      <c r="A276" s="3"/>
    </row>
    <row r="277" spans="1:1" ht="13.2">
      <c r="A277" s="3"/>
    </row>
    <row r="278" spans="1:1" ht="13.2">
      <c r="A278" s="3"/>
    </row>
    <row r="279" spans="1:1" ht="13.2">
      <c r="A279" s="3"/>
    </row>
    <row r="280" spans="1:1" ht="13.2">
      <c r="A280" s="3"/>
    </row>
    <row r="281" spans="1:1" ht="13.2">
      <c r="A281" s="3"/>
    </row>
    <row r="282" spans="1:1" ht="13.2">
      <c r="A282" s="3"/>
    </row>
    <row r="283" spans="1:1" ht="13.2">
      <c r="A283" s="3"/>
    </row>
    <row r="284" spans="1:1" ht="13.2">
      <c r="A284" s="3"/>
    </row>
    <row r="285" spans="1:1" ht="13.2">
      <c r="A285" s="3"/>
    </row>
    <row r="286" spans="1:1" ht="13.2">
      <c r="A286" s="3"/>
    </row>
    <row r="287" spans="1:1" ht="13.2">
      <c r="A287" s="3"/>
    </row>
    <row r="288" spans="1:1" ht="13.2">
      <c r="A288" s="3"/>
    </row>
    <row r="289" spans="1:1" ht="13.2">
      <c r="A289" s="3"/>
    </row>
    <row r="290" spans="1:1" ht="13.2">
      <c r="A290" s="3"/>
    </row>
    <row r="291" spans="1:1" ht="13.2">
      <c r="A291" s="3"/>
    </row>
    <row r="292" spans="1:1" ht="13.2">
      <c r="A292" s="3"/>
    </row>
    <row r="293" spans="1:1" ht="13.2">
      <c r="A293" s="3"/>
    </row>
    <row r="294" spans="1:1" ht="13.2">
      <c r="A294" s="3"/>
    </row>
    <row r="295" spans="1:1" ht="13.2">
      <c r="A295" s="3"/>
    </row>
    <row r="296" spans="1:1" ht="13.2">
      <c r="A296" s="3"/>
    </row>
    <row r="297" spans="1:1" ht="13.2">
      <c r="A297" s="3"/>
    </row>
    <row r="298" spans="1:1" ht="13.2">
      <c r="A298" s="3"/>
    </row>
    <row r="299" spans="1:1" ht="13.2">
      <c r="A299" s="3"/>
    </row>
    <row r="300" spans="1:1" ht="13.2">
      <c r="A300" s="3"/>
    </row>
    <row r="301" spans="1:1" ht="13.2">
      <c r="A301" s="3"/>
    </row>
    <row r="302" spans="1:1" ht="13.2">
      <c r="A302" s="3"/>
    </row>
    <row r="303" spans="1:1" ht="13.2">
      <c r="A303" s="3"/>
    </row>
    <row r="304" spans="1:1" ht="13.2">
      <c r="A304" s="3"/>
    </row>
    <row r="305" spans="1:1" ht="13.2">
      <c r="A305" s="3"/>
    </row>
    <row r="306" spans="1:1" ht="13.2">
      <c r="A306" s="3"/>
    </row>
    <row r="307" spans="1:1" ht="13.2">
      <c r="A307" s="3"/>
    </row>
    <row r="308" spans="1:1" ht="13.2">
      <c r="A308" s="3"/>
    </row>
    <row r="309" spans="1:1" ht="13.2">
      <c r="A309" s="3"/>
    </row>
    <row r="310" spans="1:1" ht="13.2">
      <c r="A310" s="3"/>
    </row>
    <row r="311" spans="1:1" ht="13.2">
      <c r="A311" s="3"/>
    </row>
    <row r="312" spans="1:1" ht="13.2">
      <c r="A312" s="3"/>
    </row>
    <row r="313" spans="1:1" ht="13.2">
      <c r="A313" s="3"/>
    </row>
    <row r="314" spans="1:1" ht="13.2">
      <c r="A314" s="3"/>
    </row>
    <row r="315" spans="1:1" ht="13.2">
      <c r="A315" s="3"/>
    </row>
    <row r="316" spans="1:1" ht="13.2">
      <c r="A316" s="3"/>
    </row>
    <row r="317" spans="1:1" ht="13.2">
      <c r="A317" s="3"/>
    </row>
    <row r="318" spans="1:1" ht="13.2">
      <c r="A318" s="3"/>
    </row>
    <row r="319" spans="1:1" ht="13.2">
      <c r="A319" s="3"/>
    </row>
    <row r="320" spans="1:1" ht="13.2">
      <c r="A320" s="3"/>
    </row>
    <row r="321" spans="1:1" ht="13.2">
      <c r="A321" s="3"/>
    </row>
    <row r="322" spans="1:1" ht="13.2">
      <c r="A322" s="3"/>
    </row>
    <row r="323" spans="1:1" ht="13.2">
      <c r="A323" s="3"/>
    </row>
    <row r="324" spans="1:1" ht="13.2">
      <c r="A324" s="3"/>
    </row>
    <row r="325" spans="1:1" ht="13.2">
      <c r="A325" s="3"/>
    </row>
    <row r="326" spans="1:1" ht="13.2">
      <c r="A326" s="3"/>
    </row>
    <row r="327" spans="1:1" ht="13.2">
      <c r="A327" s="3"/>
    </row>
    <row r="328" spans="1:1" ht="13.2">
      <c r="A328" s="3"/>
    </row>
    <row r="329" spans="1:1" ht="13.2">
      <c r="A329" s="3"/>
    </row>
    <row r="330" spans="1:1" ht="13.2">
      <c r="A330" s="3"/>
    </row>
    <row r="331" spans="1:1" ht="13.2">
      <c r="A331" s="3"/>
    </row>
    <row r="332" spans="1:1" ht="13.2">
      <c r="A332" s="3"/>
    </row>
    <row r="333" spans="1:1" ht="13.2">
      <c r="A333" s="3"/>
    </row>
    <row r="334" spans="1:1" ht="13.2">
      <c r="A334" s="3"/>
    </row>
    <row r="335" spans="1:1" ht="13.2">
      <c r="A335" s="3"/>
    </row>
    <row r="336" spans="1:1" ht="13.2">
      <c r="A336" s="3"/>
    </row>
    <row r="337" spans="1:1" ht="13.2">
      <c r="A337" s="3"/>
    </row>
    <row r="338" spans="1:1" ht="13.2">
      <c r="A338" s="3"/>
    </row>
    <row r="339" spans="1:1" ht="13.2">
      <c r="A339" s="3"/>
    </row>
    <row r="340" spans="1:1" ht="13.2">
      <c r="A340" s="3"/>
    </row>
    <row r="341" spans="1:1" ht="13.2">
      <c r="A341" s="3"/>
    </row>
    <row r="342" spans="1:1" ht="13.2">
      <c r="A342" s="3"/>
    </row>
    <row r="343" spans="1:1" ht="13.2">
      <c r="A343" s="3"/>
    </row>
    <row r="344" spans="1:1" ht="13.2">
      <c r="A344" s="3"/>
    </row>
    <row r="345" spans="1:1" ht="13.2">
      <c r="A345" s="3"/>
    </row>
    <row r="346" spans="1:1" ht="13.2">
      <c r="A346" s="3"/>
    </row>
    <row r="347" spans="1:1" ht="13.2">
      <c r="A347" s="3"/>
    </row>
    <row r="348" spans="1:1" ht="13.2">
      <c r="A348" s="3"/>
    </row>
    <row r="349" spans="1:1" ht="13.2">
      <c r="A349" s="3"/>
    </row>
    <row r="350" spans="1:1" ht="13.2">
      <c r="A350" s="3"/>
    </row>
    <row r="351" spans="1:1" ht="13.2">
      <c r="A351" s="3"/>
    </row>
    <row r="352" spans="1:1" ht="13.2">
      <c r="A352" s="3"/>
    </row>
    <row r="353" spans="1:1" ht="13.2">
      <c r="A353" s="3"/>
    </row>
    <row r="354" spans="1:1" ht="13.2">
      <c r="A354" s="3"/>
    </row>
    <row r="355" spans="1:1" ht="13.2">
      <c r="A355" s="3"/>
    </row>
    <row r="356" spans="1:1" ht="13.2">
      <c r="A356" s="3"/>
    </row>
    <row r="357" spans="1:1" ht="13.2">
      <c r="A357" s="3"/>
    </row>
    <row r="358" spans="1:1" ht="13.2">
      <c r="A358" s="3"/>
    </row>
    <row r="359" spans="1:1" ht="13.2">
      <c r="A359" s="3"/>
    </row>
    <row r="360" spans="1:1" ht="13.2">
      <c r="A360" s="3"/>
    </row>
    <row r="361" spans="1:1" ht="13.2">
      <c r="A361" s="3"/>
    </row>
    <row r="362" spans="1:1" ht="13.2">
      <c r="A362" s="3"/>
    </row>
    <row r="363" spans="1:1" ht="13.2">
      <c r="A363" s="3"/>
    </row>
    <row r="364" spans="1:1" ht="13.2">
      <c r="A364" s="3"/>
    </row>
    <row r="365" spans="1:1" ht="13.2">
      <c r="A365" s="3"/>
    </row>
    <row r="366" spans="1:1" ht="13.2">
      <c r="A366" s="3"/>
    </row>
    <row r="367" spans="1:1" ht="13.2">
      <c r="A367" s="3"/>
    </row>
    <row r="368" spans="1:1" ht="13.2">
      <c r="A368" s="3"/>
    </row>
    <row r="369" spans="1:1" ht="13.2">
      <c r="A369" s="3"/>
    </row>
    <row r="370" spans="1:1" ht="13.2">
      <c r="A370" s="3"/>
    </row>
    <row r="371" spans="1:1" ht="13.2">
      <c r="A371" s="3"/>
    </row>
    <row r="372" spans="1:1" ht="13.2">
      <c r="A372" s="3"/>
    </row>
    <row r="373" spans="1:1" ht="13.2">
      <c r="A373" s="3"/>
    </row>
    <row r="374" spans="1:1" ht="13.2">
      <c r="A374" s="3"/>
    </row>
    <row r="375" spans="1:1" ht="13.2">
      <c r="A375" s="3"/>
    </row>
    <row r="376" spans="1:1" ht="13.2">
      <c r="A376" s="3"/>
    </row>
    <row r="377" spans="1:1" ht="13.2">
      <c r="A377" s="3"/>
    </row>
    <row r="378" spans="1:1" ht="13.2">
      <c r="A378" s="3"/>
    </row>
    <row r="379" spans="1:1" ht="13.2">
      <c r="A379" s="3"/>
    </row>
    <row r="380" spans="1:1" ht="13.2">
      <c r="A380" s="3"/>
    </row>
    <row r="381" spans="1:1" ht="13.2">
      <c r="A381" s="3"/>
    </row>
    <row r="382" spans="1:1" ht="13.2">
      <c r="A382" s="3"/>
    </row>
    <row r="383" spans="1:1" ht="13.2">
      <c r="A383" s="3"/>
    </row>
    <row r="384" spans="1:1" ht="13.2">
      <c r="A384" s="3"/>
    </row>
    <row r="385" spans="1:1" ht="13.2">
      <c r="A385" s="3"/>
    </row>
    <row r="386" spans="1:1" ht="13.2">
      <c r="A386" s="3"/>
    </row>
    <row r="387" spans="1:1" ht="13.2">
      <c r="A387" s="3"/>
    </row>
    <row r="388" spans="1:1" ht="13.2">
      <c r="A388" s="3"/>
    </row>
    <row r="389" spans="1:1" ht="13.2">
      <c r="A389" s="3"/>
    </row>
    <row r="390" spans="1:1" ht="13.2">
      <c r="A390" s="3"/>
    </row>
    <row r="391" spans="1:1" ht="13.2">
      <c r="A391" s="3"/>
    </row>
    <row r="392" spans="1:1" ht="13.2">
      <c r="A392" s="3"/>
    </row>
    <row r="393" spans="1:1" ht="13.2">
      <c r="A393" s="3"/>
    </row>
    <row r="394" spans="1:1" ht="13.2">
      <c r="A394" s="3"/>
    </row>
    <row r="395" spans="1:1" ht="13.2">
      <c r="A395" s="3"/>
    </row>
    <row r="396" spans="1:1" ht="13.2">
      <c r="A396" s="3"/>
    </row>
    <row r="397" spans="1:1" ht="13.2">
      <c r="A397" s="3"/>
    </row>
    <row r="398" spans="1:1" ht="13.2">
      <c r="A398" s="3"/>
    </row>
    <row r="399" spans="1:1" ht="13.2">
      <c r="A399" s="3"/>
    </row>
    <row r="400" spans="1:1" ht="13.2">
      <c r="A400" s="3"/>
    </row>
    <row r="401" spans="1:1" ht="13.2">
      <c r="A401" s="3"/>
    </row>
    <row r="402" spans="1:1" ht="13.2">
      <c r="A402" s="3"/>
    </row>
    <row r="403" spans="1:1" ht="13.2">
      <c r="A403" s="3"/>
    </row>
    <row r="404" spans="1:1" ht="13.2">
      <c r="A404" s="3"/>
    </row>
    <row r="405" spans="1:1" ht="13.2">
      <c r="A405" s="3"/>
    </row>
    <row r="406" spans="1:1" ht="13.2">
      <c r="A406" s="3"/>
    </row>
    <row r="407" spans="1:1" ht="13.2">
      <c r="A407" s="3"/>
    </row>
    <row r="408" spans="1:1" ht="13.2">
      <c r="A408" s="3"/>
    </row>
    <row r="409" spans="1:1" ht="13.2">
      <c r="A409" s="3"/>
    </row>
    <row r="410" spans="1:1" ht="13.2">
      <c r="A410" s="3"/>
    </row>
    <row r="411" spans="1:1" ht="13.2">
      <c r="A411" s="3"/>
    </row>
    <row r="412" spans="1:1" ht="13.2">
      <c r="A412" s="3"/>
    </row>
    <row r="413" spans="1:1" ht="13.2">
      <c r="A413" s="3"/>
    </row>
    <row r="414" spans="1:1" ht="13.2">
      <c r="A414" s="3"/>
    </row>
    <row r="415" spans="1:1" ht="13.2">
      <c r="A415" s="3"/>
    </row>
    <row r="416" spans="1:1" ht="13.2">
      <c r="A416" s="3"/>
    </row>
    <row r="417" spans="1:1" ht="13.2">
      <c r="A417" s="3"/>
    </row>
    <row r="418" spans="1:1" ht="13.2">
      <c r="A418" s="3"/>
    </row>
    <row r="419" spans="1:1" ht="13.2">
      <c r="A419" s="3"/>
    </row>
    <row r="420" spans="1:1" ht="13.2">
      <c r="A420" s="3"/>
    </row>
    <row r="421" spans="1:1" ht="13.2">
      <c r="A421" s="3"/>
    </row>
    <row r="422" spans="1:1" ht="13.2">
      <c r="A422" s="3"/>
    </row>
    <row r="423" spans="1:1" ht="13.2">
      <c r="A423" s="3"/>
    </row>
    <row r="424" spans="1:1" ht="13.2">
      <c r="A424" s="3"/>
    </row>
    <row r="425" spans="1:1" ht="13.2">
      <c r="A425" s="3"/>
    </row>
    <row r="426" spans="1:1" ht="13.2">
      <c r="A426" s="3"/>
    </row>
    <row r="427" spans="1:1" ht="13.2">
      <c r="A427" s="3"/>
    </row>
    <row r="428" spans="1:1" ht="13.2">
      <c r="A428" s="3"/>
    </row>
    <row r="429" spans="1:1" ht="13.2">
      <c r="A429" s="3"/>
    </row>
    <row r="430" spans="1:1" ht="13.2">
      <c r="A430" s="3"/>
    </row>
    <row r="431" spans="1:1" ht="13.2">
      <c r="A431" s="3"/>
    </row>
    <row r="432" spans="1:1" ht="13.2">
      <c r="A432" s="3"/>
    </row>
    <row r="433" spans="1:1" ht="13.2">
      <c r="A433" s="3"/>
    </row>
    <row r="434" spans="1:1" ht="13.2">
      <c r="A434" s="3"/>
    </row>
    <row r="435" spans="1:1" ht="13.2">
      <c r="A435" s="3"/>
    </row>
    <row r="436" spans="1:1" ht="13.2">
      <c r="A436" s="3"/>
    </row>
    <row r="437" spans="1:1" ht="13.2">
      <c r="A437" s="3"/>
    </row>
    <row r="438" spans="1:1" ht="13.2">
      <c r="A438" s="3"/>
    </row>
    <row r="439" spans="1:1" ht="13.2">
      <c r="A439" s="3"/>
    </row>
    <row r="440" spans="1:1" ht="13.2">
      <c r="A440" s="3"/>
    </row>
    <row r="441" spans="1:1" ht="13.2">
      <c r="A441" s="3"/>
    </row>
    <row r="442" spans="1:1" ht="13.2">
      <c r="A442" s="3"/>
    </row>
    <row r="443" spans="1:1" ht="13.2">
      <c r="A443" s="3"/>
    </row>
    <row r="444" spans="1:1" ht="13.2">
      <c r="A444" s="3"/>
    </row>
    <row r="445" spans="1:1" ht="13.2">
      <c r="A445" s="3"/>
    </row>
    <row r="446" spans="1:1" ht="13.2">
      <c r="A446" s="3"/>
    </row>
    <row r="447" spans="1:1" ht="13.2">
      <c r="A447" s="3"/>
    </row>
    <row r="448" spans="1:1" ht="13.2">
      <c r="A448" s="3"/>
    </row>
    <row r="449" spans="1:1" ht="13.2">
      <c r="A449" s="3"/>
    </row>
    <row r="450" spans="1:1" ht="13.2">
      <c r="A450" s="3"/>
    </row>
    <row r="451" spans="1:1" ht="13.2">
      <c r="A451" s="3"/>
    </row>
    <row r="452" spans="1:1" ht="13.2">
      <c r="A452" s="3"/>
    </row>
    <row r="453" spans="1:1" ht="13.2">
      <c r="A453" s="3"/>
    </row>
    <row r="454" spans="1:1" ht="13.2">
      <c r="A454" s="3"/>
    </row>
    <row r="455" spans="1:1" ht="13.2">
      <c r="A455" s="3"/>
    </row>
    <row r="456" spans="1:1" ht="13.2">
      <c r="A456" s="3"/>
    </row>
    <row r="457" spans="1:1" ht="13.2">
      <c r="A457" s="3"/>
    </row>
    <row r="458" spans="1:1" ht="13.2">
      <c r="A458" s="3"/>
    </row>
    <row r="459" spans="1:1" ht="13.2">
      <c r="A459" s="3"/>
    </row>
    <row r="460" spans="1:1" ht="13.2">
      <c r="A460" s="3"/>
    </row>
    <row r="461" spans="1:1" ht="13.2">
      <c r="A461" s="3"/>
    </row>
    <row r="462" spans="1:1" ht="13.2">
      <c r="A462" s="3"/>
    </row>
    <row r="463" spans="1:1" ht="13.2">
      <c r="A463" s="3"/>
    </row>
    <row r="464" spans="1:1" ht="13.2">
      <c r="A464" s="3"/>
    </row>
    <row r="465" spans="1:1" ht="13.2">
      <c r="A465" s="3"/>
    </row>
    <row r="466" spans="1:1" ht="13.2">
      <c r="A466" s="3"/>
    </row>
    <row r="467" spans="1:1" ht="13.2">
      <c r="A467" s="3"/>
    </row>
    <row r="468" spans="1:1" ht="13.2">
      <c r="A468" s="3"/>
    </row>
    <row r="469" spans="1:1" ht="13.2">
      <c r="A469" s="3"/>
    </row>
    <row r="470" spans="1:1" ht="13.2">
      <c r="A470" s="3"/>
    </row>
    <row r="471" spans="1:1" ht="13.2">
      <c r="A471" s="3"/>
    </row>
    <row r="472" spans="1:1" ht="13.2">
      <c r="A472" s="3"/>
    </row>
    <row r="473" spans="1:1" ht="13.2">
      <c r="A473" s="3"/>
    </row>
    <row r="474" spans="1:1" ht="13.2">
      <c r="A474" s="3"/>
    </row>
    <row r="475" spans="1:1" ht="13.2">
      <c r="A475" s="3"/>
    </row>
    <row r="476" spans="1:1" ht="13.2">
      <c r="A476" s="3"/>
    </row>
    <row r="477" spans="1:1" ht="13.2">
      <c r="A477" s="3"/>
    </row>
    <row r="478" spans="1:1" ht="13.2">
      <c r="A478" s="3"/>
    </row>
    <row r="479" spans="1:1" ht="13.2">
      <c r="A479" s="3"/>
    </row>
    <row r="480" spans="1:1" ht="13.2">
      <c r="A480" s="3"/>
    </row>
    <row r="481" spans="1:1" ht="13.2">
      <c r="A481" s="3"/>
    </row>
    <row r="482" spans="1:1" ht="13.2">
      <c r="A482" s="3"/>
    </row>
    <row r="483" spans="1:1" ht="13.2">
      <c r="A483" s="3"/>
    </row>
    <row r="484" spans="1:1" ht="13.2">
      <c r="A484" s="3"/>
    </row>
    <row r="485" spans="1:1" ht="13.2">
      <c r="A485" s="3"/>
    </row>
    <row r="486" spans="1:1" ht="13.2">
      <c r="A486" s="3"/>
    </row>
    <row r="487" spans="1:1" ht="13.2">
      <c r="A487" s="3"/>
    </row>
    <row r="488" spans="1:1" ht="13.2">
      <c r="A488" s="3"/>
    </row>
    <row r="489" spans="1:1" ht="13.2">
      <c r="A489" s="3"/>
    </row>
    <row r="490" spans="1:1" ht="13.2">
      <c r="A490" s="3"/>
    </row>
    <row r="491" spans="1:1" ht="13.2">
      <c r="A491" s="3"/>
    </row>
    <row r="492" spans="1:1" ht="13.2">
      <c r="A492" s="3"/>
    </row>
    <row r="493" spans="1:1" ht="13.2">
      <c r="A493" s="3"/>
    </row>
    <row r="494" spans="1:1" ht="13.2">
      <c r="A494" s="3"/>
    </row>
    <row r="495" spans="1:1" ht="13.2">
      <c r="A495" s="3"/>
    </row>
    <row r="496" spans="1:1" ht="13.2">
      <c r="A496" s="3"/>
    </row>
    <row r="497" spans="1:1" ht="13.2">
      <c r="A497" s="3"/>
    </row>
    <row r="498" spans="1:1" ht="13.2">
      <c r="A498" s="3"/>
    </row>
    <row r="499" spans="1:1" ht="13.2">
      <c r="A499" s="3"/>
    </row>
    <row r="500" spans="1:1" ht="13.2">
      <c r="A500" s="3"/>
    </row>
    <row r="501" spans="1:1" ht="13.2">
      <c r="A501" s="3"/>
    </row>
    <row r="502" spans="1:1" ht="13.2">
      <c r="A502" s="3"/>
    </row>
    <row r="503" spans="1:1" ht="13.2">
      <c r="A503" s="3"/>
    </row>
    <row r="504" spans="1:1" ht="13.2">
      <c r="A504" s="3"/>
    </row>
    <row r="505" spans="1:1" ht="13.2">
      <c r="A505" s="3"/>
    </row>
    <row r="506" spans="1:1" ht="13.2">
      <c r="A506" s="3"/>
    </row>
    <row r="507" spans="1:1" ht="13.2">
      <c r="A507" s="3"/>
    </row>
    <row r="508" spans="1:1" ht="13.2">
      <c r="A508" s="3"/>
    </row>
    <row r="509" spans="1:1" ht="13.2">
      <c r="A509" s="3"/>
    </row>
    <row r="510" spans="1:1" ht="13.2">
      <c r="A510" s="3"/>
    </row>
    <row r="511" spans="1:1" ht="13.2">
      <c r="A511" s="3"/>
    </row>
    <row r="512" spans="1:1" ht="13.2">
      <c r="A512" s="3"/>
    </row>
    <row r="513" spans="1:1" ht="13.2">
      <c r="A513" s="3"/>
    </row>
    <row r="514" spans="1:1" ht="13.2">
      <c r="A514" s="3"/>
    </row>
    <row r="515" spans="1:1" ht="13.2">
      <c r="A515" s="3"/>
    </row>
    <row r="516" spans="1:1" ht="13.2">
      <c r="A516" s="3"/>
    </row>
    <row r="517" spans="1:1" ht="13.2">
      <c r="A517" s="3"/>
    </row>
    <row r="518" spans="1:1" ht="13.2">
      <c r="A518" s="3"/>
    </row>
    <row r="519" spans="1:1" ht="13.2">
      <c r="A519" s="3"/>
    </row>
    <row r="520" spans="1:1" ht="13.2">
      <c r="A520" s="3"/>
    </row>
    <row r="521" spans="1:1" ht="13.2">
      <c r="A521" s="3"/>
    </row>
    <row r="522" spans="1:1" ht="13.2">
      <c r="A522" s="3"/>
    </row>
    <row r="523" spans="1:1" ht="13.2">
      <c r="A523" s="3"/>
    </row>
    <row r="524" spans="1:1" ht="13.2">
      <c r="A524" s="3"/>
    </row>
    <row r="525" spans="1:1" ht="13.2">
      <c r="A525" s="3"/>
    </row>
    <row r="526" spans="1:1" ht="13.2">
      <c r="A526" s="3"/>
    </row>
    <row r="527" spans="1:1" ht="13.2">
      <c r="A527" s="3"/>
    </row>
    <row r="528" spans="1:1" ht="13.2">
      <c r="A528" s="3"/>
    </row>
    <row r="529" spans="1:1" ht="13.2">
      <c r="A529" s="3"/>
    </row>
    <row r="530" spans="1:1" ht="13.2">
      <c r="A530" s="3"/>
    </row>
    <row r="531" spans="1:1" ht="13.2">
      <c r="A531" s="3"/>
    </row>
    <row r="532" spans="1:1" ht="13.2">
      <c r="A532" s="3"/>
    </row>
    <row r="533" spans="1:1" ht="13.2">
      <c r="A533" s="3"/>
    </row>
    <row r="534" spans="1:1" ht="13.2">
      <c r="A534" s="3"/>
    </row>
    <row r="535" spans="1:1" ht="13.2">
      <c r="A535" s="3"/>
    </row>
    <row r="536" spans="1:1" ht="13.2">
      <c r="A536" s="3"/>
    </row>
    <row r="537" spans="1:1" ht="13.2">
      <c r="A537" s="3"/>
    </row>
    <row r="538" spans="1:1" ht="13.2">
      <c r="A538" s="3"/>
    </row>
    <row r="539" spans="1:1" ht="13.2">
      <c r="A539" s="3"/>
    </row>
    <row r="540" spans="1:1" ht="13.2">
      <c r="A540" s="3"/>
    </row>
    <row r="541" spans="1:1" ht="13.2">
      <c r="A541" s="3"/>
    </row>
    <row r="542" spans="1:1" ht="13.2">
      <c r="A542" s="3"/>
    </row>
    <row r="543" spans="1:1" ht="13.2">
      <c r="A543" s="3"/>
    </row>
    <row r="544" spans="1:1" ht="13.2">
      <c r="A544" s="3"/>
    </row>
    <row r="545" spans="1:1" ht="13.2">
      <c r="A545" s="3"/>
    </row>
    <row r="546" spans="1:1" ht="13.2">
      <c r="A546" s="3"/>
    </row>
    <row r="547" spans="1:1" ht="13.2">
      <c r="A547" s="3"/>
    </row>
    <row r="548" spans="1:1" ht="13.2">
      <c r="A548" s="3"/>
    </row>
    <row r="549" spans="1:1" ht="13.2">
      <c r="A549" s="3"/>
    </row>
    <row r="550" spans="1:1" ht="13.2">
      <c r="A550" s="3"/>
    </row>
    <row r="551" spans="1:1" ht="13.2">
      <c r="A551" s="3"/>
    </row>
    <row r="552" spans="1:1" ht="13.2">
      <c r="A552" s="3"/>
    </row>
    <row r="553" spans="1:1" ht="13.2">
      <c r="A553" s="3"/>
    </row>
    <row r="554" spans="1:1" ht="13.2">
      <c r="A554" s="3"/>
    </row>
    <row r="555" spans="1:1" ht="13.2">
      <c r="A555" s="3"/>
    </row>
    <row r="556" spans="1:1" ht="13.2">
      <c r="A556" s="3"/>
    </row>
    <row r="557" spans="1:1" ht="13.2">
      <c r="A557" s="3"/>
    </row>
    <row r="558" spans="1:1" ht="13.2">
      <c r="A558" s="3"/>
    </row>
    <row r="559" spans="1:1" ht="13.2">
      <c r="A559" s="3"/>
    </row>
    <row r="560" spans="1:1" ht="13.2">
      <c r="A560" s="3"/>
    </row>
    <row r="561" spans="1:1" ht="13.2">
      <c r="A561" s="3"/>
    </row>
    <row r="562" spans="1:1" ht="13.2">
      <c r="A562" s="3"/>
    </row>
    <row r="563" spans="1:1" ht="13.2">
      <c r="A563" s="3"/>
    </row>
    <row r="564" spans="1:1" ht="13.2">
      <c r="A564" s="3"/>
    </row>
    <row r="565" spans="1:1" ht="13.2">
      <c r="A565" s="3"/>
    </row>
    <row r="566" spans="1:1" ht="13.2">
      <c r="A566" s="3"/>
    </row>
    <row r="567" spans="1:1" ht="13.2">
      <c r="A567" s="3"/>
    </row>
    <row r="568" spans="1:1" ht="13.2">
      <c r="A568" s="3"/>
    </row>
    <row r="569" spans="1:1" ht="13.2">
      <c r="A569" s="3"/>
    </row>
    <row r="570" spans="1:1" ht="13.2">
      <c r="A570" s="3"/>
    </row>
    <row r="571" spans="1:1" ht="13.2">
      <c r="A571" s="3"/>
    </row>
    <row r="572" spans="1:1" ht="13.2">
      <c r="A572" s="3"/>
    </row>
    <row r="573" spans="1:1" ht="13.2">
      <c r="A573" s="3"/>
    </row>
    <row r="574" spans="1:1" ht="13.2">
      <c r="A574" s="3"/>
    </row>
    <row r="575" spans="1:1" ht="13.2">
      <c r="A575" s="3"/>
    </row>
    <row r="576" spans="1:1" ht="13.2">
      <c r="A576" s="3"/>
    </row>
    <row r="577" spans="1:1" ht="13.2">
      <c r="A577" s="3"/>
    </row>
    <row r="578" spans="1:1" ht="13.2">
      <c r="A578" s="3"/>
    </row>
    <row r="579" spans="1:1" ht="13.2">
      <c r="A579" s="3"/>
    </row>
    <row r="580" spans="1:1" ht="13.2">
      <c r="A580" s="3"/>
    </row>
    <row r="581" spans="1:1" ht="13.2">
      <c r="A581" s="3"/>
    </row>
    <row r="582" spans="1:1" ht="13.2">
      <c r="A582" s="3"/>
    </row>
    <row r="583" spans="1:1" ht="13.2">
      <c r="A583" s="3"/>
    </row>
    <row r="584" spans="1:1" ht="13.2">
      <c r="A584" s="3"/>
    </row>
    <row r="585" spans="1:1" ht="13.2">
      <c r="A585" s="3"/>
    </row>
    <row r="586" spans="1:1" ht="13.2">
      <c r="A586" s="3"/>
    </row>
    <row r="587" spans="1:1" ht="13.2">
      <c r="A587" s="3"/>
    </row>
    <row r="588" spans="1:1" ht="13.2">
      <c r="A588" s="3"/>
    </row>
    <row r="589" spans="1:1" ht="13.2">
      <c r="A589" s="3"/>
    </row>
    <row r="590" spans="1:1" ht="13.2">
      <c r="A590" s="3"/>
    </row>
    <row r="591" spans="1:1" ht="13.2">
      <c r="A591" s="3"/>
    </row>
    <row r="592" spans="1:1" ht="13.2">
      <c r="A592" s="3"/>
    </row>
    <row r="593" spans="1:1" ht="13.2">
      <c r="A593" s="3"/>
    </row>
    <row r="594" spans="1:1" ht="13.2">
      <c r="A594" s="3"/>
    </row>
    <row r="595" spans="1:1" ht="13.2">
      <c r="A595" s="3"/>
    </row>
    <row r="596" spans="1:1" ht="13.2">
      <c r="A596" s="3"/>
    </row>
    <row r="597" spans="1:1" ht="13.2">
      <c r="A597" s="3"/>
    </row>
    <row r="598" spans="1:1" ht="13.2">
      <c r="A598" s="3"/>
    </row>
    <row r="599" spans="1:1" ht="13.2">
      <c r="A599" s="3"/>
    </row>
    <row r="600" spans="1:1" ht="13.2">
      <c r="A600" s="3"/>
    </row>
    <row r="601" spans="1:1" ht="13.2">
      <c r="A601" s="3"/>
    </row>
    <row r="602" spans="1:1" ht="13.2">
      <c r="A602" s="3"/>
    </row>
    <row r="603" spans="1:1" ht="13.2">
      <c r="A603" s="3"/>
    </row>
    <row r="604" spans="1:1" ht="13.2">
      <c r="A604" s="3"/>
    </row>
    <row r="605" spans="1:1" ht="13.2">
      <c r="A605" s="3"/>
    </row>
    <row r="606" spans="1:1" ht="13.2">
      <c r="A606" s="3"/>
    </row>
    <row r="607" spans="1:1" ht="13.2">
      <c r="A607" s="3"/>
    </row>
    <row r="608" spans="1:1" ht="13.2">
      <c r="A608" s="3"/>
    </row>
    <row r="609" spans="1:1" ht="13.2">
      <c r="A609" s="3"/>
    </row>
    <row r="610" spans="1:1" ht="13.2">
      <c r="A610" s="3"/>
    </row>
    <row r="611" spans="1:1" ht="13.2">
      <c r="A611" s="3"/>
    </row>
    <row r="612" spans="1:1" ht="13.2">
      <c r="A612" s="3"/>
    </row>
    <row r="613" spans="1:1" ht="13.2">
      <c r="A613" s="3"/>
    </row>
    <row r="614" spans="1:1" ht="13.2">
      <c r="A614" s="3"/>
    </row>
    <row r="615" spans="1:1" ht="13.2">
      <c r="A615" s="3"/>
    </row>
    <row r="616" spans="1:1" ht="13.2">
      <c r="A616" s="3"/>
    </row>
    <row r="617" spans="1:1" ht="13.2">
      <c r="A617" s="3"/>
    </row>
    <row r="618" spans="1:1" ht="13.2">
      <c r="A618" s="3"/>
    </row>
    <row r="619" spans="1:1" ht="13.2">
      <c r="A619" s="3"/>
    </row>
    <row r="620" spans="1:1" ht="13.2">
      <c r="A620" s="3"/>
    </row>
    <row r="621" spans="1:1" ht="13.2">
      <c r="A621" s="3"/>
    </row>
    <row r="622" spans="1:1" ht="13.2">
      <c r="A622" s="3"/>
    </row>
    <row r="623" spans="1:1" ht="13.2">
      <c r="A623" s="3"/>
    </row>
    <row r="624" spans="1:1" ht="13.2">
      <c r="A624" s="3"/>
    </row>
    <row r="625" spans="1:1" ht="13.2">
      <c r="A625" s="3"/>
    </row>
    <row r="626" spans="1:1" ht="13.2">
      <c r="A626" s="3"/>
    </row>
    <row r="627" spans="1:1" ht="13.2">
      <c r="A627" s="3"/>
    </row>
    <row r="628" spans="1:1" ht="13.2">
      <c r="A628" s="3"/>
    </row>
    <row r="629" spans="1:1" ht="13.2">
      <c r="A629" s="3"/>
    </row>
    <row r="630" spans="1:1" ht="13.2">
      <c r="A630" s="3"/>
    </row>
    <row r="631" spans="1:1" ht="13.2">
      <c r="A631" s="3"/>
    </row>
    <row r="632" spans="1:1" ht="13.2">
      <c r="A632" s="3"/>
    </row>
    <row r="633" spans="1:1" ht="13.2">
      <c r="A633" s="3"/>
    </row>
    <row r="634" spans="1:1" ht="13.2">
      <c r="A634" s="3"/>
    </row>
    <row r="635" spans="1:1" ht="13.2">
      <c r="A635" s="3"/>
    </row>
    <row r="636" spans="1:1" ht="13.2">
      <c r="A636" s="3"/>
    </row>
    <row r="637" spans="1:1" ht="13.2">
      <c r="A637" s="3"/>
    </row>
    <row r="638" spans="1:1" ht="13.2">
      <c r="A638" s="3"/>
    </row>
    <row r="639" spans="1:1" ht="13.2">
      <c r="A639" s="3"/>
    </row>
    <row r="640" spans="1:1" ht="13.2">
      <c r="A640" s="3"/>
    </row>
    <row r="641" spans="1:1" ht="13.2">
      <c r="A641" s="3"/>
    </row>
    <row r="642" spans="1:1" ht="13.2">
      <c r="A642" s="3"/>
    </row>
    <row r="643" spans="1:1" ht="13.2">
      <c r="A643" s="3"/>
    </row>
    <row r="644" spans="1:1" ht="13.2">
      <c r="A644" s="3"/>
    </row>
    <row r="645" spans="1:1" ht="13.2">
      <c r="A645" s="3"/>
    </row>
    <row r="646" spans="1:1" ht="13.2">
      <c r="A646" s="3"/>
    </row>
    <row r="647" spans="1:1" ht="13.2">
      <c r="A647" s="3"/>
    </row>
    <row r="648" spans="1:1" ht="13.2">
      <c r="A648" s="3"/>
    </row>
    <row r="649" spans="1:1" ht="13.2">
      <c r="A649" s="3"/>
    </row>
    <row r="650" spans="1:1" ht="13.2">
      <c r="A650" s="3"/>
    </row>
    <row r="651" spans="1:1" ht="13.2">
      <c r="A651" s="3"/>
    </row>
    <row r="652" spans="1:1" ht="13.2">
      <c r="A652" s="3"/>
    </row>
    <row r="653" spans="1:1" ht="13.2">
      <c r="A653" s="3"/>
    </row>
    <row r="654" spans="1:1" ht="13.2">
      <c r="A654" s="3"/>
    </row>
    <row r="655" spans="1:1" ht="13.2">
      <c r="A655" s="3"/>
    </row>
    <row r="656" spans="1:1" ht="13.2">
      <c r="A656" s="3"/>
    </row>
    <row r="657" spans="1:1" ht="13.2">
      <c r="A657" s="3"/>
    </row>
    <row r="658" spans="1:1" ht="13.2">
      <c r="A658" s="3"/>
    </row>
    <row r="659" spans="1:1" ht="13.2">
      <c r="A659" s="3"/>
    </row>
    <row r="660" spans="1:1" ht="13.2">
      <c r="A660" s="3"/>
    </row>
    <row r="661" spans="1:1" ht="13.2">
      <c r="A661" s="3"/>
    </row>
    <row r="662" spans="1:1" ht="13.2">
      <c r="A662" s="3"/>
    </row>
    <row r="663" spans="1:1" ht="13.2">
      <c r="A663" s="3"/>
    </row>
    <row r="664" spans="1:1" ht="13.2">
      <c r="A664" s="3"/>
    </row>
    <row r="665" spans="1:1" ht="13.2">
      <c r="A665" s="3"/>
    </row>
    <row r="666" spans="1:1" ht="13.2">
      <c r="A666" s="3"/>
    </row>
    <row r="667" spans="1:1" ht="13.2">
      <c r="A667" s="3"/>
    </row>
    <row r="668" spans="1:1" ht="13.2">
      <c r="A668" s="3"/>
    </row>
    <row r="669" spans="1:1" ht="13.2">
      <c r="A669" s="3"/>
    </row>
    <row r="670" spans="1:1" ht="13.2">
      <c r="A670" s="3"/>
    </row>
    <row r="671" spans="1:1" ht="13.2">
      <c r="A671" s="3"/>
    </row>
    <row r="672" spans="1:1" ht="13.2">
      <c r="A672" s="3"/>
    </row>
    <row r="673" spans="1:1" ht="13.2">
      <c r="A673" s="3"/>
    </row>
    <row r="674" spans="1:1" ht="13.2">
      <c r="A674" s="3"/>
    </row>
    <row r="675" spans="1:1" ht="13.2">
      <c r="A675" s="3"/>
    </row>
    <row r="676" spans="1:1" ht="13.2">
      <c r="A676" s="3"/>
    </row>
    <row r="677" spans="1:1" ht="13.2">
      <c r="A677" s="3"/>
    </row>
    <row r="678" spans="1:1" ht="13.2">
      <c r="A678" s="3"/>
    </row>
    <row r="679" spans="1:1" ht="13.2">
      <c r="A679" s="3"/>
    </row>
    <row r="680" spans="1:1" ht="13.2">
      <c r="A680" s="3"/>
    </row>
    <row r="681" spans="1:1" ht="13.2">
      <c r="A681" s="3"/>
    </row>
    <row r="682" spans="1:1" ht="13.2">
      <c r="A682" s="3"/>
    </row>
    <row r="683" spans="1:1" ht="13.2">
      <c r="A683" s="3"/>
    </row>
    <row r="684" spans="1:1" ht="13.2">
      <c r="A684" s="3"/>
    </row>
    <row r="685" spans="1:1" ht="13.2">
      <c r="A685" s="3"/>
    </row>
    <row r="686" spans="1:1" ht="13.2">
      <c r="A686" s="3"/>
    </row>
    <row r="687" spans="1:1" ht="13.2">
      <c r="A687" s="3"/>
    </row>
    <row r="688" spans="1:1" ht="13.2">
      <c r="A688" s="3"/>
    </row>
    <row r="689" spans="1:1" ht="13.2">
      <c r="A689" s="3"/>
    </row>
    <row r="690" spans="1:1" ht="13.2">
      <c r="A690" s="3"/>
    </row>
    <row r="691" spans="1:1" ht="13.2">
      <c r="A691" s="3"/>
    </row>
    <row r="692" spans="1:1" ht="13.2">
      <c r="A692" s="3"/>
    </row>
    <row r="693" spans="1:1" ht="13.2">
      <c r="A693" s="3"/>
    </row>
    <row r="694" spans="1:1" ht="13.2">
      <c r="A694" s="3"/>
    </row>
    <row r="695" spans="1:1" ht="13.2">
      <c r="A695" s="3"/>
    </row>
    <row r="696" spans="1:1" ht="13.2">
      <c r="A696" s="3"/>
    </row>
    <row r="697" spans="1:1" ht="13.2">
      <c r="A697" s="3"/>
    </row>
    <row r="698" spans="1:1" ht="13.2">
      <c r="A698" s="3"/>
    </row>
    <row r="699" spans="1:1" ht="13.2">
      <c r="A699" s="3"/>
    </row>
    <row r="700" spans="1:1" ht="13.2">
      <c r="A700" s="3"/>
    </row>
    <row r="701" spans="1:1" ht="13.2">
      <c r="A701" s="3"/>
    </row>
    <row r="702" spans="1:1" ht="13.2">
      <c r="A702" s="3"/>
    </row>
    <row r="703" spans="1:1" ht="13.2">
      <c r="A703" s="3"/>
    </row>
    <row r="704" spans="1:1" ht="13.2">
      <c r="A704" s="3"/>
    </row>
    <row r="705" spans="1:1" ht="13.2">
      <c r="A705" s="3"/>
    </row>
    <row r="706" spans="1:1" ht="13.2">
      <c r="A706" s="3"/>
    </row>
    <row r="707" spans="1:1" ht="13.2">
      <c r="A707" s="3"/>
    </row>
    <row r="708" spans="1:1" ht="13.2">
      <c r="A708" s="3"/>
    </row>
    <row r="709" spans="1:1" ht="13.2">
      <c r="A709" s="3"/>
    </row>
    <row r="710" spans="1:1" ht="13.2">
      <c r="A710" s="3"/>
    </row>
    <row r="711" spans="1:1" ht="13.2">
      <c r="A711" s="3"/>
    </row>
    <row r="712" spans="1:1" ht="13.2">
      <c r="A712" s="3"/>
    </row>
    <row r="713" spans="1:1" ht="13.2">
      <c r="A713" s="3"/>
    </row>
    <row r="714" spans="1:1" ht="13.2">
      <c r="A714" s="3"/>
    </row>
    <row r="715" spans="1:1" ht="13.2">
      <c r="A715" s="3"/>
    </row>
    <row r="716" spans="1:1" ht="13.2">
      <c r="A716" s="3"/>
    </row>
    <row r="717" spans="1:1" ht="13.2">
      <c r="A717" s="3"/>
    </row>
    <row r="718" spans="1:1" ht="13.2">
      <c r="A718" s="3"/>
    </row>
    <row r="719" spans="1:1" ht="13.2">
      <c r="A719" s="3"/>
    </row>
    <row r="720" spans="1:1" ht="13.2">
      <c r="A720" s="3"/>
    </row>
    <row r="721" spans="1:1" ht="13.2">
      <c r="A721" s="3"/>
    </row>
    <row r="722" spans="1:1" ht="13.2">
      <c r="A722" s="3"/>
    </row>
    <row r="723" spans="1:1" ht="13.2">
      <c r="A723" s="3"/>
    </row>
    <row r="724" spans="1:1" ht="13.2">
      <c r="A724" s="3"/>
    </row>
    <row r="725" spans="1:1" ht="13.2">
      <c r="A725" s="3"/>
    </row>
    <row r="726" spans="1:1" ht="13.2">
      <c r="A726" s="3"/>
    </row>
    <row r="727" spans="1:1" ht="13.2">
      <c r="A727" s="3"/>
    </row>
    <row r="728" spans="1:1" ht="13.2">
      <c r="A728" s="3"/>
    </row>
    <row r="729" spans="1:1" ht="13.2">
      <c r="A729" s="3"/>
    </row>
    <row r="730" spans="1:1" ht="13.2">
      <c r="A730" s="3"/>
    </row>
    <row r="731" spans="1:1" ht="13.2">
      <c r="A731" s="3"/>
    </row>
    <row r="732" spans="1:1" ht="13.2">
      <c r="A732" s="3"/>
    </row>
    <row r="733" spans="1:1" ht="13.2">
      <c r="A733" s="3"/>
    </row>
    <row r="734" spans="1:1" ht="13.2">
      <c r="A734" s="3"/>
    </row>
    <row r="735" spans="1:1" ht="13.2">
      <c r="A735" s="3"/>
    </row>
    <row r="736" spans="1:1" ht="13.2">
      <c r="A736" s="3"/>
    </row>
    <row r="737" spans="1:1" ht="13.2">
      <c r="A737" s="3"/>
    </row>
    <row r="738" spans="1:1" ht="13.2">
      <c r="A738" s="3"/>
    </row>
    <row r="739" spans="1:1" ht="13.2">
      <c r="A739" s="3"/>
    </row>
    <row r="740" spans="1:1" ht="13.2">
      <c r="A740" s="3"/>
    </row>
    <row r="741" spans="1:1" ht="13.2">
      <c r="A741" s="3"/>
    </row>
    <row r="742" spans="1:1" ht="13.2">
      <c r="A742" s="3"/>
    </row>
    <row r="743" spans="1:1" ht="13.2">
      <c r="A743" s="3"/>
    </row>
    <row r="744" spans="1:1" ht="13.2">
      <c r="A744" s="3"/>
    </row>
    <row r="745" spans="1:1" ht="13.2">
      <c r="A745" s="3"/>
    </row>
    <row r="746" spans="1:1" ht="13.2">
      <c r="A746" s="3"/>
    </row>
    <row r="747" spans="1:1" ht="13.2">
      <c r="A747" s="3"/>
    </row>
    <row r="748" spans="1:1" ht="13.2">
      <c r="A748" s="3"/>
    </row>
    <row r="749" spans="1:1" ht="13.2">
      <c r="A749" s="3"/>
    </row>
    <row r="750" spans="1:1" ht="13.2">
      <c r="A750" s="3"/>
    </row>
    <row r="751" spans="1:1" ht="13.2">
      <c r="A751" s="3"/>
    </row>
    <row r="752" spans="1:1" ht="13.2">
      <c r="A752" s="3"/>
    </row>
    <row r="753" spans="1:1" ht="13.2">
      <c r="A753" s="3"/>
    </row>
    <row r="754" spans="1:1" ht="13.2">
      <c r="A754" s="3"/>
    </row>
    <row r="755" spans="1:1" ht="13.2">
      <c r="A755" s="3"/>
    </row>
    <row r="756" spans="1:1" ht="13.2">
      <c r="A756" s="3"/>
    </row>
    <row r="757" spans="1:1" ht="13.2">
      <c r="A757" s="3"/>
    </row>
    <row r="758" spans="1:1" ht="13.2">
      <c r="A758" s="3"/>
    </row>
    <row r="759" spans="1:1" ht="13.2">
      <c r="A759" s="3"/>
    </row>
    <row r="760" spans="1:1" ht="13.2">
      <c r="A760" s="3"/>
    </row>
    <row r="761" spans="1:1" ht="13.2">
      <c r="A761" s="3"/>
    </row>
    <row r="762" spans="1:1" ht="13.2">
      <c r="A762" s="3"/>
    </row>
    <row r="763" spans="1:1" ht="13.2">
      <c r="A763" s="3"/>
    </row>
    <row r="764" spans="1:1" ht="13.2">
      <c r="A764" s="3"/>
    </row>
    <row r="765" spans="1:1" ht="13.2">
      <c r="A765" s="3"/>
    </row>
    <row r="766" spans="1:1" ht="13.2">
      <c r="A766" s="3"/>
    </row>
    <row r="767" spans="1:1" ht="13.2">
      <c r="A767" s="3"/>
    </row>
    <row r="768" spans="1:1" ht="13.2">
      <c r="A768" s="3"/>
    </row>
    <row r="769" spans="1:1" ht="13.2">
      <c r="A769" s="3"/>
    </row>
    <row r="770" spans="1:1" ht="13.2">
      <c r="A770" s="3"/>
    </row>
    <row r="771" spans="1:1" ht="13.2">
      <c r="A771" s="3"/>
    </row>
    <row r="772" spans="1:1" ht="13.2">
      <c r="A772" s="3"/>
    </row>
    <row r="773" spans="1:1" ht="13.2">
      <c r="A773" s="3"/>
    </row>
    <row r="774" spans="1:1" ht="13.2">
      <c r="A774" s="3"/>
    </row>
    <row r="775" spans="1:1" ht="13.2">
      <c r="A775" s="3"/>
    </row>
    <row r="776" spans="1:1" ht="13.2">
      <c r="A776" s="3"/>
    </row>
    <row r="777" spans="1:1" ht="13.2">
      <c r="A777" s="3"/>
    </row>
    <row r="778" spans="1:1" ht="13.2">
      <c r="A778" s="3"/>
    </row>
    <row r="779" spans="1:1" ht="13.2">
      <c r="A779" s="3"/>
    </row>
    <row r="780" spans="1:1" ht="13.2">
      <c r="A780" s="3"/>
    </row>
    <row r="781" spans="1:1" ht="13.2">
      <c r="A781" s="3"/>
    </row>
    <row r="782" spans="1:1" ht="13.2">
      <c r="A782" s="3"/>
    </row>
    <row r="783" spans="1:1" ht="13.2">
      <c r="A783" s="3"/>
    </row>
    <row r="784" spans="1:1" ht="13.2">
      <c r="A784" s="3"/>
    </row>
    <row r="785" spans="1:1" ht="13.2">
      <c r="A785" s="3"/>
    </row>
    <row r="786" spans="1:1" ht="13.2">
      <c r="A786" s="3"/>
    </row>
    <row r="787" spans="1:1" ht="13.2">
      <c r="A787" s="3"/>
    </row>
    <row r="788" spans="1:1" ht="13.2">
      <c r="A788" s="3"/>
    </row>
    <row r="789" spans="1:1" ht="13.2">
      <c r="A789" s="3"/>
    </row>
    <row r="790" spans="1:1" ht="13.2">
      <c r="A790" s="3"/>
    </row>
    <row r="791" spans="1:1" ht="13.2">
      <c r="A791" s="3"/>
    </row>
    <row r="792" spans="1:1" ht="13.2">
      <c r="A792" s="3"/>
    </row>
    <row r="793" spans="1:1" ht="13.2">
      <c r="A793" s="3"/>
    </row>
    <row r="794" spans="1:1" ht="13.2">
      <c r="A794" s="3"/>
    </row>
    <row r="795" spans="1:1" ht="13.2">
      <c r="A795" s="3"/>
    </row>
    <row r="796" spans="1:1" ht="13.2">
      <c r="A796" s="3"/>
    </row>
    <row r="797" spans="1:1" ht="13.2">
      <c r="A797" s="3"/>
    </row>
    <row r="798" spans="1:1" ht="13.2">
      <c r="A798" s="3"/>
    </row>
    <row r="799" spans="1:1" ht="13.2">
      <c r="A799" s="3"/>
    </row>
    <row r="800" spans="1:1" ht="13.2">
      <c r="A800" s="3"/>
    </row>
    <row r="801" spans="1:1" ht="13.2">
      <c r="A801" s="3"/>
    </row>
    <row r="802" spans="1:1" ht="13.2">
      <c r="A802" s="3"/>
    </row>
    <row r="803" spans="1:1" ht="13.2">
      <c r="A803" s="3"/>
    </row>
    <row r="804" spans="1:1" ht="13.2">
      <c r="A804" s="3"/>
    </row>
    <row r="805" spans="1:1" ht="13.2">
      <c r="A805" s="3"/>
    </row>
    <row r="806" spans="1:1" ht="13.2">
      <c r="A806" s="3"/>
    </row>
    <row r="807" spans="1:1" ht="13.2">
      <c r="A807" s="3"/>
    </row>
    <row r="808" spans="1:1" ht="13.2">
      <c r="A808" s="3"/>
    </row>
    <row r="809" spans="1:1" ht="13.2">
      <c r="A809" s="3"/>
    </row>
    <row r="810" spans="1:1" ht="13.2">
      <c r="A810" s="3"/>
    </row>
    <row r="811" spans="1:1" ht="13.2">
      <c r="A811" s="3"/>
    </row>
    <row r="812" spans="1:1" ht="13.2">
      <c r="A812" s="3"/>
    </row>
    <row r="813" spans="1:1" ht="13.2">
      <c r="A813" s="3"/>
    </row>
    <row r="814" spans="1:1" ht="13.2">
      <c r="A814" s="3"/>
    </row>
    <row r="815" spans="1:1" ht="13.2">
      <c r="A815" s="3"/>
    </row>
    <row r="816" spans="1:1" ht="13.2">
      <c r="A816" s="3"/>
    </row>
    <row r="817" spans="1:1" ht="13.2">
      <c r="A817" s="3"/>
    </row>
    <row r="818" spans="1:1" ht="13.2">
      <c r="A818" s="3"/>
    </row>
    <row r="819" spans="1:1" ht="13.2">
      <c r="A819" s="3"/>
    </row>
    <row r="820" spans="1:1" ht="13.2">
      <c r="A820" s="3"/>
    </row>
    <row r="821" spans="1:1" ht="13.2">
      <c r="A821" s="3"/>
    </row>
    <row r="822" spans="1:1" ht="13.2">
      <c r="A822" s="3"/>
    </row>
    <row r="823" spans="1:1" ht="13.2">
      <c r="A823" s="3"/>
    </row>
    <row r="824" spans="1:1" ht="13.2">
      <c r="A824" s="3"/>
    </row>
    <row r="825" spans="1:1" ht="13.2">
      <c r="A825" s="3"/>
    </row>
    <row r="826" spans="1:1" ht="13.2">
      <c r="A826" s="3"/>
    </row>
    <row r="827" spans="1:1" ht="13.2">
      <c r="A827" s="3"/>
    </row>
    <row r="828" spans="1:1" ht="13.2">
      <c r="A828" s="3"/>
    </row>
    <row r="829" spans="1:1" ht="13.2">
      <c r="A829" s="3"/>
    </row>
    <row r="830" spans="1:1" ht="13.2">
      <c r="A830" s="3"/>
    </row>
    <row r="831" spans="1:1" ht="13.2">
      <c r="A831" s="3"/>
    </row>
    <row r="832" spans="1:1" ht="13.2">
      <c r="A832" s="3"/>
    </row>
    <row r="833" spans="1:1" ht="13.2">
      <c r="A833" s="3"/>
    </row>
    <row r="834" spans="1:1" ht="13.2">
      <c r="A834" s="3"/>
    </row>
    <row r="835" spans="1:1" ht="13.2">
      <c r="A835" s="3"/>
    </row>
    <row r="836" spans="1:1" ht="13.2">
      <c r="A836" s="3"/>
    </row>
    <row r="837" spans="1:1" ht="13.2">
      <c r="A837" s="3"/>
    </row>
    <row r="838" spans="1:1" ht="13.2">
      <c r="A838" s="3"/>
    </row>
    <row r="839" spans="1:1" ht="13.2">
      <c r="A839" s="3"/>
    </row>
    <row r="840" spans="1:1" ht="13.2">
      <c r="A840" s="3"/>
    </row>
    <row r="841" spans="1:1" ht="13.2">
      <c r="A841" s="3"/>
    </row>
    <row r="842" spans="1:1" ht="13.2">
      <c r="A842" s="3"/>
    </row>
    <row r="843" spans="1:1" ht="13.2">
      <c r="A843" s="3"/>
    </row>
    <row r="844" spans="1:1" ht="13.2">
      <c r="A844" s="3"/>
    </row>
    <row r="845" spans="1:1" ht="13.2">
      <c r="A845" s="3"/>
    </row>
    <row r="846" spans="1:1" ht="13.2">
      <c r="A846" s="3"/>
    </row>
    <row r="847" spans="1:1" ht="13.2">
      <c r="A847" s="3"/>
    </row>
    <row r="848" spans="1:1" ht="13.2">
      <c r="A848" s="3"/>
    </row>
    <row r="849" spans="1:1" ht="13.2">
      <c r="A849" s="3"/>
    </row>
    <row r="850" spans="1:1" ht="13.2">
      <c r="A850" s="3"/>
    </row>
    <row r="851" spans="1:1" ht="13.2">
      <c r="A851" s="3"/>
    </row>
    <row r="852" spans="1:1" ht="13.2">
      <c r="A852" s="3"/>
    </row>
    <row r="853" spans="1:1" ht="13.2">
      <c r="A853" s="3"/>
    </row>
    <row r="854" spans="1:1" ht="13.2">
      <c r="A854" s="3"/>
    </row>
    <row r="855" spans="1:1" ht="13.2">
      <c r="A855" s="3"/>
    </row>
    <row r="856" spans="1:1" ht="13.2">
      <c r="A856" s="3"/>
    </row>
    <row r="857" spans="1:1" ht="13.2">
      <c r="A857" s="3"/>
    </row>
    <row r="858" spans="1:1" ht="13.2">
      <c r="A858" s="3"/>
    </row>
    <row r="859" spans="1:1" ht="13.2">
      <c r="A859" s="3"/>
    </row>
    <row r="860" spans="1:1" ht="13.2">
      <c r="A860" s="3"/>
    </row>
    <row r="861" spans="1:1" ht="13.2">
      <c r="A861" s="3"/>
    </row>
    <row r="862" spans="1:1" ht="13.2">
      <c r="A862" s="3"/>
    </row>
    <row r="863" spans="1:1" ht="13.2">
      <c r="A863" s="3"/>
    </row>
    <row r="864" spans="1:1" ht="13.2">
      <c r="A864" s="3"/>
    </row>
    <row r="865" spans="1:1" ht="13.2">
      <c r="A865" s="3"/>
    </row>
    <row r="866" spans="1:1" ht="13.2">
      <c r="A866" s="3"/>
    </row>
    <row r="867" spans="1:1" ht="13.2">
      <c r="A867" s="3"/>
    </row>
    <row r="868" spans="1:1" ht="13.2">
      <c r="A868" s="3"/>
    </row>
    <row r="869" spans="1:1" ht="13.2">
      <c r="A869" s="3"/>
    </row>
    <row r="870" spans="1:1" ht="13.2">
      <c r="A870" s="3"/>
    </row>
    <row r="871" spans="1:1" ht="13.2">
      <c r="A871" s="3"/>
    </row>
    <row r="872" spans="1:1" ht="13.2">
      <c r="A872" s="3"/>
    </row>
    <row r="873" spans="1:1" ht="13.2">
      <c r="A873" s="3"/>
    </row>
    <row r="874" spans="1:1" ht="13.2">
      <c r="A874" s="3"/>
    </row>
    <row r="875" spans="1:1" ht="13.2">
      <c r="A875" s="3"/>
    </row>
    <row r="876" spans="1:1" ht="13.2">
      <c r="A876" s="3"/>
    </row>
    <row r="877" spans="1:1" ht="13.2">
      <c r="A877" s="3"/>
    </row>
    <row r="878" spans="1:1" ht="13.2">
      <c r="A878" s="3"/>
    </row>
    <row r="879" spans="1:1" ht="13.2">
      <c r="A879" s="3"/>
    </row>
    <row r="880" spans="1:1" ht="13.2">
      <c r="A880" s="3"/>
    </row>
    <row r="881" spans="1:1" ht="13.2">
      <c r="A881" s="3"/>
    </row>
    <row r="882" spans="1:1" ht="13.2">
      <c r="A882" s="3"/>
    </row>
    <row r="883" spans="1:1" ht="13.2">
      <c r="A883" s="3"/>
    </row>
    <row r="884" spans="1:1" ht="13.2">
      <c r="A884" s="3"/>
    </row>
    <row r="885" spans="1:1" ht="13.2">
      <c r="A885" s="3"/>
    </row>
    <row r="886" spans="1:1" ht="13.2">
      <c r="A886" s="3"/>
    </row>
    <row r="887" spans="1:1" ht="13.2">
      <c r="A887" s="3"/>
    </row>
    <row r="888" spans="1:1" ht="13.2">
      <c r="A888" s="3"/>
    </row>
    <row r="889" spans="1:1" ht="13.2">
      <c r="A889" s="3"/>
    </row>
    <row r="890" spans="1:1" ht="13.2">
      <c r="A890" s="3"/>
    </row>
    <row r="891" spans="1:1" ht="13.2">
      <c r="A891" s="3"/>
    </row>
    <row r="892" spans="1:1" ht="13.2">
      <c r="A892" s="3"/>
    </row>
    <row r="893" spans="1:1" ht="13.2">
      <c r="A893" s="3"/>
    </row>
    <row r="894" spans="1:1" ht="13.2">
      <c r="A894" s="3"/>
    </row>
    <row r="895" spans="1:1" ht="13.2">
      <c r="A895" s="3"/>
    </row>
    <row r="896" spans="1:1" ht="13.2">
      <c r="A896" s="3"/>
    </row>
    <row r="897" spans="1:1" ht="13.2">
      <c r="A897" s="3"/>
    </row>
    <row r="898" spans="1:1" ht="13.2">
      <c r="A898" s="3"/>
    </row>
    <row r="899" spans="1:1" ht="13.2">
      <c r="A899" s="3"/>
    </row>
    <row r="900" spans="1:1" ht="13.2">
      <c r="A900" s="3"/>
    </row>
    <row r="901" spans="1:1" ht="13.2">
      <c r="A901" s="3"/>
    </row>
    <row r="902" spans="1:1" ht="13.2">
      <c r="A902" s="3"/>
    </row>
    <row r="903" spans="1:1" ht="13.2">
      <c r="A903" s="3"/>
    </row>
    <row r="904" spans="1:1" ht="13.2">
      <c r="A904" s="3"/>
    </row>
    <row r="905" spans="1:1" ht="13.2">
      <c r="A905" s="3"/>
    </row>
    <row r="906" spans="1:1" ht="13.2">
      <c r="A906" s="3"/>
    </row>
    <row r="907" spans="1:1" ht="13.2">
      <c r="A907" s="3"/>
    </row>
    <row r="908" spans="1:1" ht="13.2">
      <c r="A908" s="3"/>
    </row>
    <row r="909" spans="1:1" ht="13.2">
      <c r="A909" s="3"/>
    </row>
    <row r="910" spans="1:1" ht="13.2">
      <c r="A910" s="3"/>
    </row>
    <row r="911" spans="1:1" ht="13.2">
      <c r="A911" s="3"/>
    </row>
    <row r="912" spans="1:1" ht="13.2">
      <c r="A912" s="3"/>
    </row>
    <row r="913" spans="1:1" ht="13.2">
      <c r="A913" s="3"/>
    </row>
    <row r="914" spans="1:1" ht="13.2">
      <c r="A914" s="3"/>
    </row>
    <row r="915" spans="1:1" ht="13.2">
      <c r="A915" s="3"/>
    </row>
    <row r="916" spans="1:1" ht="13.2">
      <c r="A916" s="3"/>
    </row>
    <row r="917" spans="1:1" ht="13.2">
      <c r="A917" s="3"/>
    </row>
    <row r="918" spans="1:1" ht="13.2">
      <c r="A918" s="3"/>
    </row>
    <row r="919" spans="1:1" ht="13.2">
      <c r="A919" s="3"/>
    </row>
    <row r="920" spans="1:1" ht="13.2">
      <c r="A920" s="3"/>
    </row>
    <row r="921" spans="1:1" ht="13.2">
      <c r="A921" s="3"/>
    </row>
    <row r="922" spans="1:1" ht="13.2">
      <c r="A922" s="3"/>
    </row>
    <row r="923" spans="1:1" ht="13.2">
      <c r="A923" s="3"/>
    </row>
    <row r="924" spans="1:1" ht="13.2">
      <c r="A924" s="3"/>
    </row>
    <row r="925" spans="1:1" ht="13.2">
      <c r="A925" s="3"/>
    </row>
    <row r="926" spans="1:1" ht="13.2">
      <c r="A926" s="3"/>
    </row>
    <row r="927" spans="1:1" ht="13.2">
      <c r="A927" s="3"/>
    </row>
    <row r="928" spans="1:1" ht="13.2">
      <c r="A928" s="3"/>
    </row>
    <row r="929" spans="1:1" ht="13.2">
      <c r="A929" s="3"/>
    </row>
    <row r="930" spans="1:1" ht="13.2">
      <c r="A930" s="3"/>
    </row>
    <row r="931" spans="1:1" ht="13.2">
      <c r="A931" s="3"/>
    </row>
    <row r="932" spans="1:1" ht="13.2">
      <c r="A932" s="3"/>
    </row>
    <row r="933" spans="1:1" ht="13.2">
      <c r="A933" s="3"/>
    </row>
    <row r="934" spans="1:1" ht="13.2">
      <c r="A934" s="3"/>
    </row>
    <row r="935" spans="1:1" ht="13.2">
      <c r="A935" s="3"/>
    </row>
    <row r="936" spans="1:1" ht="13.2">
      <c r="A936" s="3"/>
    </row>
    <row r="937" spans="1:1" ht="13.2">
      <c r="A937" s="3"/>
    </row>
    <row r="938" spans="1:1" ht="13.2">
      <c r="A938" s="3"/>
    </row>
    <row r="939" spans="1:1" ht="13.2">
      <c r="A939" s="3"/>
    </row>
    <row r="940" spans="1:1" ht="13.2">
      <c r="A940" s="3"/>
    </row>
    <row r="941" spans="1:1" ht="13.2">
      <c r="A941" s="3"/>
    </row>
    <row r="942" spans="1:1" ht="13.2">
      <c r="A942" s="3"/>
    </row>
    <row r="943" spans="1:1" ht="13.2">
      <c r="A943" s="3"/>
    </row>
    <row r="944" spans="1:1" ht="13.2">
      <c r="A944" s="3"/>
    </row>
    <row r="945" spans="1:1" ht="13.2">
      <c r="A945" s="3"/>
    </row>
    <row r="946" spans="1:1" ht="13.2">
      <c r="A946" s="3"/>
    </row>
    <row r="947" spans="1:1" ht="13.2">
      <c r="A947" s="3"/>
    </row>
    <row r="948" spans="1:1" ht="13.2">
      <c r="A948" s="3"/>
    </row>
    <row r="949" spans="1:1" ht="13.2">
      <c r="A949" s="3"/>
    </row>
    <row r="950" spans="1:1" ht="13.2">
      <c r="A950" s="3"/>
    </row>
    <row r="951" spans="1:1" ht="13.2">
      <c r="A951" s="3"/>
    </row>
    <row r="952" spans="1:1" ht="13.2">
      <c r="A952" s="3"/>
    </row>
    <row r="953" spans="1:1" ht="13.2">
      <c r="A953" s="3"/>
    </row>
    <row r="954" spans="1:1" ht="13.2">
      <c r="A954" s="3"/>
    </row>
    <row r="955" spans="1:1" ht="13.2">
      <c r="A955" s="3"/>
    </row>
    <row r="956" spans="1:1" ht="13.2">
      <c r="A956" s="3"/>
    </row>
    <row r="957" spans="1:1" ht="13.2">
      <c r="A957" s="3"/>
    </row>
    <row r="958" spans="1:1" ht="13.2">
      <c r="A958" s="3"/>
    </row>
    <row r="959" spans="1:1" ht="13.2">
      <c r="A959" s="3"/>
    </row>
    <row r="960" spans="1:1" ht="13.2">
      <c r="A960" s="3"/>
    </row>
    <row r="961" spans="1:10" ht="13.2">
      <c r="A961" s="3"/>
    </row>
    <row r="962" spans="1:10" ht="13.2">
      <c r="A962" s="3"/>
    </row>
    <row r="963" spans="1:10" ht="13.2">
      <c r="A963" s="3"/>
    </row>
    <row r="964" spans="1:10" ht="13.2">
      <c r="A964" s="3"/>
    </row>
    <row r="965" spans="1:10" ht="13.2">
      <c r="A965" s="3"/>
    </row>
    <row r="966" spans="1:10" ht="13.2">
      <c r="A966" s="3"/>
    </row>
    <row r="967" spans="1:10" ht="13.2">
      <c r="A967" s="3"/>
    </row>
    <row r="968" spans="1:10" ht="13.2">
      <c r="A968" s="3"/>
    </row>
    <row r="969" spans="1:10" ht="13.2">
      <c r="A969" s="3"/>
    </row>
    <row r="970" spans="1:10" ht="13.2">
      <c r="A970" s="3"/>
    </row>
    <row r="971" spans="1:10" ht="13.2">
      <c r="A971" s="3"/>
    </row>
    <row r="972" spans="1:10" ht="13.2">
      <c r="A972" s="3"/>
    </row>
    <row r="973" spans="1:10" ht="13.2">
      <c r="A973" s="3"/>
    </row>
    <row r="974" spans="1:10" ht="13.2">
      <c r="A974" s="3"/>
    </row>
    <row r="975" spans="1:10" ht="15.75" customHeight="1">
      <c r="H975" s="24">
        <f>COUNTA(H2:H187)</f>
        <v>186</v>
      </c>
      <c r="I975" s="24"/>
      <c r="J975" s="24"/>
    </row>
    <row r="977" spans="7:7" ht="15.75" customHeight="1">
      <c r="G977" s="24"/>
    </row>
  </sheetData>
  <autoFilter ref="G1:G975" xr:uid="{DEEB7543-4E57-4CBC-A1C0-86DF9B1F0292}"/>
  <sortState xmlns:xlrd2="http://schemas.microsoft.com/office/spreadsheetml/2017/richdata2" ref="A3:L52">
    <sortCondition ref="A2:A52"/>
  </sortState>
  <mergeCells count="1">
    <mergeCell ref="B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B3421-87CE-4A51-A90C-021B04169967}">
  <sheetPr>
    <outlinePr summaryBelow="0" summaryRight="0"/>
  </sheetPr>
  <dimension ref="A1:E29"/>
  <sheetViews>
    <sheetView tabSelected="1" topLeftCell="D1" zoomScale="70" zoomScaleNormal="70" workbookViewId="0">
      <selection activeCell="E3" sqref="E3"/>
    </sheetView>
  </sheetViews>
  <sheetFormatPr defaultColWidth="12.6640625" defaultRowHeight="15.75" customHeight="1"/>
  <cols>
    <col min="1" max="1" width="4.44140625" style="114" hidden="1" customWidth="1"/>
    <col min="2" max="2" width="73.6640625" style="114" hidden="1" customWidth="1"/>
    <col min="3" max="3" width="104.109375" style="114" hidden="1" customWidth="1"/>
    <col min="4" max="4" width="147.5546875" style="114" customWidth="1"/>
    <col min="5" max="5" width="100.77734375" style="114" customWidth="1"/>
    <col min="6" max="16384" width="12.6640625" style="114"/>
  </cols>
  <sheetData>
    <row r="1" spans="1:5" ht="38.4" thickBot="1">
      <c r="A1" s="113" t="s">
        <v>3</v>
      </c>
      <c r="D1" s="115" t="s">
        <v>1524</v>
      </c>
    </row>
    <row r="2" spans="1:5" ht="189" customHeight="1">
      <c r="A2" s="116">
        <v>1.1000000000000001</v>
      </c>
      <c r="B2" s="113" t="s">
        <v>4</v>
      </c>
      <c r="C2" s="113" t="s">
        <v>1525</v>
      </c>
      <c r="D2" s="117" t="s">
        <v>1526</v>
      </c>
    </row>
    <row r="3" spans="1:5" ht="409.6" thickBot="1">
      <c r="A3" s="116"/>
      <c r="B3" s="113"/>
      <c r="C3" s="113"/>
      <c r="D3" s="118" t="s">
        <v>1527</v>
      </c>
      <c r="E3" s="119"/>
    </row>
    <row r="4" spans="1:5" ht="409.6">
      <c r="A4" s="116"/>
      <c r="B4" s="120" t="s">
        <v>215</v>
      </c>
      <c r="C4" s="113" t="s">
        <v>1528</v>
      </c>
      <c r="D4" s="117" t="s">
        <v>1529</v>
      </c>
      <c r="E4" s="119"/>
    </row>
    <row r="5" spans="1:5" ht="408.6" customHeight="1">
      <c r="A5" s="116">
        <v>2.2999999999999998</v>
      </c>
      <c r="B5" s="113" t="s">
        <v>301</v>
      </c>
      <c r="D5" s="121" t="s">
        <v>1530</v>
      </c>
      <c r="E5" s="119"/>
    </row>
    <row r="6" spans="1:5" ht="409.2" customHeight="1" thickBot="1">
      <c r="A6" s="116"/>
      <c r="B6" s="113" t="s">
        <v>451</v>
      </c>
      <c r="D6" s="118" t="s">
        <v>1531</v>
      </c>
      <c r="E6" s="122"/>
    </row>
    <row r="7" spans="1:5" ht="319.8" customHeight="1">
      <c r="A7" s="116"/>
      <c r="B7" s="120" t="s">
        <v>525</v>
      </c>
      <c r="C7" s="113" t="s">
        <v>1532</v>
      </c>
      <c r="D7" s="117" t="s">
        <v>1533</v>
      </c>
      <c r="E7" s="119"/>
    </row>
    <row r="8" spans="1:5" ht="303" customHeight="1">
      <c r="A8" s="116"/>
      <c r="B8" s="120" t="s">
        <v>587</v>
      </c>
      <c r="C8" s="113" t="s">
        <v>1534</v>
      </c>
      <c r="D8" s="121" t="s">
        <v>1535</v>
      </c>
      <c r="E8" s="119"/>
    </row>
    <row r="9" spans="1:5" ht="403.8" customHeight="1" thickBot="1">
      <c r="B9" s="113" t="s">
        <v>647</v>
      </c>
      <c r="C9" s="113" t="s">
        <v>1536</v>
      </c>
      <c r="D9" s="118" t="s">
        <v>1537</v>
      </c>
      <c r="E9" s="119"/>
    </row>
    <row r="10" spans="1:5" ht="13.2">
      <c r="A10" s="116">
        <v>3.5</v>
      </c>
      <c r="B10" s="113" t="s">
        <v>649</v>
      </c>
      <c r="C10" s="113" t="s">
        <v>1538</v>
      </c>
    </row>
    <row r="11" spans="1:5" ht="13.2">
      <c r="B11" s="113" t="s">
        <v>652</v>
      </c>
      <c r="C11" s="113" t="s">
        <v>1539</v>
      </c>
    </row>
    <row r="12" spans="1:5" ht="13.2">
      <c r="B12" s="120" t="s">
        <v>655</v>
      </c>
      <c r="C12" s="113" t="s">
        <v>657</v>
      </c>
    </row>
    <row r="13" spans="1:5" ht="13.2">
      <c r="B13" s="120" t="s">
        <v>659</v>
      </c>
      <c r="C13" s="113" t="s">
        <v>1540</v>
      </c>
    </row>
    <row r="14" spans="1:5" ht="13.2">
      <c r="B14" s="113" t="s">
        <v>662</v>
      </c>
      <c r="C14" s="113" t="s">
        <v>1541</v>
      </c>
    </row>
    <row r="15" spans="1:5" ht="13.2">
      <c r="B15" s="113" t="s">
        <v>665</v>
      </c>
      <c r="C15" s="113" t="s">
        <v>1542</v>
      </c>
    </row>
    <row r="16" spans="1:5" ht="13.2">
      <c r="B16" s="113" t="s">
        <v>667</v>
      </c>
      <c r="C16" s="113" t="s">
        <v>1543</v>
      </c>
    </row>
    <row r="17" spans="1:3" ht="13.2">
      <c r="B17" s="113" t="s">
        <v>670</v>
      </c>
      <c r="C17" s="113" t="s">
        <v>1544</v>
      </c>
    </row>
    <row r="18" spans="1:3" ht="13.2">
      <c r="A18" s="113">
        <v>3.6</v>
      </c>
      <c r="B18" s="113" t="s">
        <v>672</v>
      </c>
      <c r="C18" s="113" t="s">
        <v>1545</v>
      </c>
    </row>
    <row r="19" spans="1:3" ht="13.2">
      <c r="B19" s="113" t="s">
        <v>675</v>
      </c>
      <c r="C19" s="113" t="s">
        <v>1546</v>
      </c>
    </row>
    <row r="20" spans="1:3" ht="13.2">
      <c r="B20" s="113" t="s">
        <v>678</v>
      </c>
      <c r="C20" s="113" t="s">
        <v>1547</v>
      </c>
    </row>
    <row r="21" spans="1:3" ht="13.2">
      <c r="B21" s="113" t="s">
        <v>681</v>
      </c>
      <c r="C21" s="113" t="s">
        <v>1548</v>
      </c>
    </row>
    <row r="22" spans="1:3" ht="13.2">
      <c r="B22" s="113" t="s">
        <v>684</v>
      </c>
      <c r="C22" s="113" t="s">
        <v>1549</v>
      </c>
    </row>
    <row r="23" spans="1:3" ht="13.2">
      <c r="B23" s="120" t="s">
        <v>687</v>
      </c>
      <c r="C23" s="113" t="s">
        <v>1550</v>
      </c>
    </row>
    <row r="24" spans="1:3" ht="13.2">
      <c r="B24" s="113" t="s">
        <v>690</v>
      </c>
      <c r="C24" s="113" t="s">
        <v>1551</v>
      </c>
    </row>
    <row r="25" spans="1:3" ht="13.2">
      <c r="B25" s="113" t="s">
        <v>693</v>
      </c>
      <c r="C25" s="113" t="s">
        <v>1552</v>
      </c>
    </row>
    <row r="26" spans="1:3" ht="13.2">
      <c r="B26" s="113" t="s">
        <v>696</v>
      </c>
      <c r="C26" s="113" t="s">
        <v>1553</v>
      </c>
    </row>
    <row r="27" spans="1:3" ht="13.2">
      <c r="B27" s="120" t="s">
        <v>699</v>
      </c>
      <c r="C27" s="113" t="s">
        <v>1554</v>
      </c>
    </row>
    <row r="28" spans="1:3" ht="13.2">
      <c r="B28" s="113" t="s">
        <v>702</v>
      </c>
      <c r="C28" s="113" t="s">
        <v>1555</v>
      </c>
    </row>
    <row r="29" spans="1:3" ht="13.2">
      <c r="B29" s="113" t="s">
        <v>705</v>
      </c>
      <c r="C29" s="113" t="s">
        <v>1556</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A8C6-747D-44C2-9FB8-94C775B4958E}">
  <dimension ref="A2:D39"/>
  <sheetViews>
    <sheetView zoomScale="55" zoomScaleNormal="55" workbookViewId="0">
      <selection activeCell="H13" sqref="H13"/>
    </sheetView>
  </sheetViews>
  <sheetFormatPr defaultRowHeight="18" customHeight="1"/>
  <cols>
    <col min="1" max="1" width="33" style="103" customWidth="1"/>
    <col min="2" max="2" width="24.109375" style="103" bestFit="1" customWidth="1"/>
    <col min="3" max="3" width="21" style="103" bestFit="1" customWidth="1"/>
    <col min="4" max="4" width="23.5546875" style="103" customWidth="1"/>
    <col min="5" max="16384" width="8.88671875" style="103"/>
  </cols>
  <sheetData>
    <row r="2" spans="1:4" ht="18" customHeight="1">
      <c r="A2" s="71" t="s">
        <v>1508</v>
      </c>
    </row>
    <row r="3" spans="1:4" ht="18" customHeight="1" thickBot="1"/>
    <row r="4" spans="1:4" ht="18" customHeight="1">
      <c r="B4" s="72" t="s">
        <v>1509</v>
      </c>
      <c r="C4" s="73" t="s">
        <v>1510</v>
      </c>
      <c r="D4" s="74" t="s">
        <v>1511</v>
      </c>
    </row>
    <row r="5" spans="1:4" ht="18" customHeight="1">
      <c r="B5" s="75">
        <v>1</v>
      </c>
      <c r="C5" s="76">
        <v>39</v>
      </c>
      <c r="D5" s="77">
        <v>0.84652777777777777</v>
      </c>
    </row>
    <row r="6" spans="1:4" ht="18" customHeight="1">
      <c r="B6" s="75">
        <v>2</v>
      </c>
      <c r="C6" s="76">
        <v>38</v>
      </c>
      <c r="D6" s="77">
        <v>0.80486111111111114</v>
      </c>
    </row>
    <row r="7" spans="1:4" ht="18" customHeight="1">
      <c r="B7" s="75">
        <v>3</v>
      </c>
      <c r="C7" s="76">
        <v>37</v>
      </c>
      <c r="D7" s="77">
        <v>0.7631944444444444</v>
      </c>
    </row>
    <row r="8" spans="1:4" ht="18" customHeight="1">
      <c r="B8" s="75">
        <v>4</v>
      </c>
      <c r="C8" s="76">
        <v>36</v>
      </c>
      <c r="D8" s="77">
        <v>0.72152777777777777</v>
      </c>
    </row>
    <row r="9" spans="1:4" ht="18" customHeight="1">
      <c r="B9" s="75">
        <v>5</v>
      </c>
      <c r="C9" s="76">
        <v>36</v>
      </c>
      <c r="D9" s="77">
        <v>0.76250000000000007</v>
      </c>
    </row>
    <row r="10" spans="1:4" ht="18" customHeight="1" thickBot="1">
      <c r="B10" s="78" t="s">
        <v>1512</v>
      </c>
      <c r="C10" s="79">
        <v>186</v>
      </c>
      <c r="D10" s="80" t="s">
        <v>1513</v>
      </c>
    </row>
    <row r="11" spans="1:4" ht="18" customHeight="1" thickBot="1"/>
    <row r="12" spans="1:4" ht="18" customHeight="1">
      <c r="B12" s="72" t="s">
        <v>1514</v>
      </c>
      <c r="C12" s="74" t="s">
        <v>1515</v>
      </c>
    </row>
    <row r="13" spans="1:4" ht="18" customHeight="1">
      <c r="B13" s="81" t="s">
        <v>1516</v>
      </c>
      <c r="C13" s="82">
        <v>92</v>
      </c>
    </row>
    <row r="14" spans="1:4" ht="18" customHeight="1">
      <c r="B14" s="81" t="s">
        <v>1517</v>
      </c>
      <c r="C14" s="82">
        <v>94</v>
      </c>
    </row>
    <row r="15" spans="1:4" ht="18" customHeight="1" thickBot="1">
      <c r="B15" s="78" t="s">
        <v>1512</v>
      </c>
      <c r="C15" s="80">
        <v>186</v>
      </c>
    </row>
    <row r="16" spans="1:4" ht="18" customHeight="1">
      <c r="A16" s="83"/>
      <c r="B16" s="83"/>
      <c r="C16" s="83"/>
    </row>
    <row r="17" spans="1:3" ht="18" customHeight="1">
      <c r="A17" s="84" t="s">
        <v>1506</v>
      </c>
      <c r="B17" s="83"/>
      <c r="C17" s="83"/>
    </row>
    <row r="18" spans="1:3" ht="18" customHeight="1" thickBot="1">
      <c r="A18" s="85"/>
      <c r="B18" s="86" t="s">
        <v>886</v>
      </c>
      <c r="C18" s="86" t="s">
        <v>887</v>
      </c>
    </row>
    <row r="19" spans="1:3" ht="18" customHeight="1">
      <c r="A19" s="85"/>
      <c r="B19" s="87">
        <f>SUM('ชุดที่ 1'!G55:G57,'ชุดที่ 2'!G52:G54,'ชุดที่ 3'!G50:G52,'ชุดที่ 4'!G48:G50,'ชุดที่ 5'!G49:G51)</f>
        <v>85</v>
      </c>
      <c r="C19" s="88">
        <f>SUM('ชุดที่ 1'!H55:H57,'ชุดที่ 2'!H52:H54,'ชุดที่ 3'!H50:H52,'ชุดที่ 4'!H48:H50,'ชุดที่ 5'!H49:H51)</f>
        <v>7</v>
      </c>
    </row>
    <row r="20" spans="1:3" ht="18" customHeight="1">
      <c r="A20" s="89" t="s">
        <v>888</v>
      </c>
      <c r="B20" s="90"/>
      <c r="C20" s="91"/>
    </row>
    <row r="21" spans="1:3" ht="18" customHeight="1">
      <c r="A21" s="89"/>
      <c r="B21" s="90"/>
      <c r="C21" s="91"/>
    </row>
    <row r="22" spans="1:3" ht="18" customHeight="1">
      <c r="A22" s="89"/>
      <c r="B22" s="92">
        <f>SUM('ชุดที่ 1'!G58:G600,'ชุดที่ 2'!G55:G57,'ชุดที่ 3'!G53:G55,'ชุดที่ 4'!G51:G53,'ชุดที่ 5'!G52:G54)</f>
        <v>83</v>
      </c>
      <c r="C22" s="91">
        <f>SUM('ชุดที่ 1'!H58:H60,'ชุดที่ 2'!H55:H57,'ชุดที่ 3'!H53:H55,'ชุดที่ 4'!H51:H53,'ชุดที่ 5'!H52:H54)</f>
        <v>11</v>
      </c>
    </row>
    <row r="23" spans="1:3" ht="18" customHeight="1">
      <c r="A23" s="89" t="s">
        <v>889</v>
      </c>
      <c r="B23" s="90"/>
      <c r="C23" s="91"/>
    </row>
    <row r="24" spans="1:3" ht="18" customHeight="1" thickBot="1">
      <c r="A24" s="85"/>
      <c r="B24" s="93"/>
      <c r="C24" s="94"/>
    </row>
    <row r="25" spans="1:3" ht="18" customHeight="1">
      <c r="A25" s="95"/>
      <c r="B25" s="95"/>
      <c r="C25" s="95"/>
    </row>
    <row r="26" spans="1:3" ht="18" customHeight="1">
      <c r="A26" s="71" t="s">
        <v>1507</v>
      </c>
      <c r="B26" s="95"/>
      <c r="C26" s="95"/>
    </row>
    <row r="27" spans="1:3" ht="18" customHeight="1" thickBot="1">
      <c r="A27" s="85"/>
      <c r="B27" s="86" t="s">
        <v>886</v>
      </c>
      <c r="C27" s="86" t="s">
        <v>887</v>
      </c>
    </row>
    <row r="28" spans="1:3" ht="18" customHeight="1">
      <c r="A28" s="85"/>
      <c r="B28" s="96">
        <f>+(B19/92)</f>
        <v>0.92391304347826086</v>
      </c>
      <c r="C28" s="97">
        <f>(C19/92)</f>
        <v>7.6086956521739135E-2</v>
      </c>
    </row>
    <row r="29" spans="1:3" ht="18" customHeight="1">
      <c r="A29" s="89" t="s">
        <v>888</v>
      </c>
      <c r="B29" s="98"/>
      <c r="C29" s="99"/>
    </row>
    <row r="30" spans="1:3" ht="18" customHeight="1">
      <c r="A30" s="89"/>
      <c r="B30" s="98"/>
      <c r="C30" s="99"/>
    </row>
    <row r="31" spans="1:3" ht="18" customHeight="1">
      <c r="A31" s="89"/>
      <c r="B31" s="100">
        <f>(B22/94)</f>
        <v>0.88297872340425532</v>
      </c>
      <c r="C31" s="99">
        <f>+(C22/94)</f>
        <v>0.11702127659574468</v>
      </c>
    </row>
    <row r="32" spans="1:3" ht="18" customHeight="1">
      <c r="A32" s="89" t="s">
        <v>889</v>
      </c>
      <c r="B32" s="98"/>
      <c r="C32" s="99"/>
    </row>
    <row r="33" spans="1:3" ht="18" customHeight="1" thickBot="1">
      <c r="A33" s="85"/>
      <c r="B33" s="101"/>
      <c r="C33" s="102"/>
    </row>
    <row r="34" spans="1:3" ht="18" customHeight="1">
      <c r="B34" s="104"/>
      <c r="C34" s="104"/>
    </row>
    <row r="35" spans="1:3" ht="18" customHeight="1" thickBot="1">
      <c r="A35" s="71" t="s">
        <v>1518</v>
      </c>
      <c r="B35" s="104"/>
      <c r="C35" s="104"/>
    </row>
    <row r="36" spans="1:3" ht="18" customHeight="1">
      <c r="B36" s="105" t="s">
        <v>1519</v>
      </c>
      <c r="C36" s="106">
        <f>+(B19+B22)/C15</f>
        <v>0.90322580645161288</v>
      </c>
    </row>
    <row r="37" spans="1:3" ht="18" customHeight="1">
      <c r="B37" s="107" t="s">
        <v>1520</v>
      </c>
      <c r="C37" s="108">
        <f>B19/(B19+C22)</f>
        <v>0.88541666666666663</v>
      </c>
    </row>
    <row r="38" spans="1:3" ht="18" customHeight="1">
      <c r="B38" s="107" t="s">
        <v>1521</v>
      </c>
      <c r="C38" s="108">
        <f>B19/(B19+C19)</f>
        <v>0.92391304347826086</v>
      </c>
    </row>
    <row r="39" spans="1:3" ht="18" customHeight="1" thickBot="1">
      <c r="B39" s="109" t="s">
        <v>1522</v>
      </c>
      <c r="C39" s="110">
        <f>2*(C37*C38)/(C37+C38)</f>
        <v>0.90425531914893609</v>
      </c>
    </row>
  </sheetData>
  <mergeCells count="8">
    <mergeCell ref="B31:B33"/>
    <mergeCell ref="C31:C33"/>
    <mergeCell ref="B19:B21"/>
    <mergeCell ref="C19:C21"/>
    <mergeCell ref="B22:B24"/>
    <mergeCell ref="C22:C24"/>
    <mergeCell ref="B28:B30"/>
    <mergeCell ref="C28:C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3913-585C-474E-A48A-DADF5AF724BF}">
  <dimension ref="A1:H56"/>
  <sheetViews>
    <sheetView topLeftCell="C1" workbookViewId="0">
      <selection activeCell="H31" sqref="H31:H32"/>
    </sheetView>
  </sheetViews>
  <sheetFormatPr defaultRowHeight="13.2"/>
  <cols>
    <col min="1" max="1" width="12.77734375" bestFit="1" customWidth="1"/>
    <col min="2" max="2" width="79.109375" bestFit="1" customWidth="1"/>
    <col min="3" max="3" width="69.109375" bestFit="1" customWidth="1"/>
    <col min="4" max="4" width="6" bestFit="1" customWidth="1"/>
    <col min="5" max="5" width="9.77734375" bestFit="1" customWidth="1"/>
    <col min="6" max="6" width="12" bestFit="1" customWidth="1"/>
    <col min="7" max="7" width="80.88671875" bestFit="1" customWidth="1"/>
    <col min="8" max="8" width="17.5546875" bestFit="1" customWidth="1"/>
  </cols>
  <sheetData>
    <row r="1" spans="1:8">
      <c r="A1" t="s">
        <v>1343</v>
      </c>
      <c r="B1" t="s">
        <v>1344</v>
      </c>
      <c r="C1" t="s">
        <v>1</v>
      </c>
      <c r="D1" t="s">
        <v>896</v>
      </c>
      <c r="E1" t="s">
        <v>894</v>
      </c>
      <c r="F1" t="s">
        <v>897</v>
      </c>
      <c r="G1" t="s">
        <v>913</v>
      </c>
      <c r="H1" t="s">
        <v>707</v>
      </c>
    </row>
    <row r="2" spans="1:8" hidden="1">
      <c r="A2" s="65" t="s">
        <v>1345</v>
      </c>
      <c r="B2" s="65" t="s">
        <v>1346</v>
      </c>
      <c r="C2" s="65" t="s">
        <v>893</v>
      </c>
      <c r="D2">
        <v>1</v>
      </c>
      <c r="E2">
        <v>0</v>
      </c>
      <c r="F2">
        <v>0.80790853407507723</v>
      </c>
      <c r="G2" s="65" t="s">
        <v>914</v>
      </c>
      <c r="H2">
        <v>1</v>
      </c>
    </row>
    <row r="3" spans="1:8" hidden="1">
      <c r="A3" s="65" t="s">
        <v>1347</v>
      </c>
      <c r="B3" s="65" t="s">
        <v>1348</v>
      </c>
      <c r="C3" s="65" t="s">
        <v>906</v>
      </c>
      <c r="D3">
        <v>1</v>
      </c>
      <c r="E3">
        <v>1</v>
      </c>
      <c r="F3">
        <v>0.46972638502696751</v>
      </c>
      <c r="G3" s="65" t="s">
        <v>915</v>
      </c>
      <c r="H3">
        <v>2</v>
      </c>
    </row>
    <row r="4" spans="1:8" hidden="1">
      <c r="A4" s="65">
        <v>3</v>
      </c>
      <c r="B4" s="65" t="s">
        <v>1350</v>
      </c>
      <c r="C4" s="65" t="s">
        <v>526</v>
      </c>
      <c r="D4">
        <v>1</v>
      </c>
      <c r="E4">
        <v>0</v>
      </c>
      <c r="F4">
        <v>0.83741476138134441</v>
      </c>
      <c r="G4" s="65" t="s">
        <v>916</v>
      </c>
      <c r="H4">
        <v>1</v>
      </c>
    </row>
    <row r="5" spans="1:8" hidden="1">
      <c r="A5" s="65" t="s">
        <v>1351</v>
      </c>
      <c r="B5" s="65" t="s">
        <v>1352</v>
      </c>
      <c r="C5" s="65" t="s">
        <v>718</v>
      </c>
      <c r="D5">
        <v>1</v>
      </c>
      <c r="E5">
        <v>1</v>
      </c>
      <c r="F5">
        <v>0.30755553398592361</v>
      </c>
      <c r="G5" s="65" t="s">
        <v>917</v>
      </c>
      <c r="H5">
        <v>2</v>
      </c>
    </row>
    <row r="6" spans="1:8" hidden="1">
      <c r="A6" s="65" t="s">
        <v>1347</v>
      </c>
      <c r="B6" s="65" t="s">
        <v>1353</v>
      </c>
      <c r="C6" s="65" t="s">
        <v>785</v>
      </c>
      <c r="D6">
        <v>1</v>
      </c>
      <c r="E6">
        <v>0</v>
      </c>
      <c r="F6">
        <v>0.86916026333821883</v>
      </c>
      <c r="G6" s="65" t="s">
        <v>918</v>
      </c>
      <c r="H6">
        <v>1</v>
      </c>
    </row>
    <row r="7" spans="1:8" hidden="1">
      <c r="A7" s="65" t="s">
        <v>1351</v>
      </c>
      <c r="B7" s="65" t="s">
        <v>1354</v>
      </c>
      <c r="C7" s="65" t="s">
        <v>728</v>
      </c>
      <c r="D7">
        <v>1</v>
      </c>
      <c r="E7">
        <v>1</v>
      </c>
      <c r="F7">
        <v>0.31748478572812788</v>
      </c>
      <c r="G7" s="65" t="s">
        <v>975</v>
      </c>
      <c r="H7">
        <v>2</v>
      </c>
    </row>
    <row r="8" spans="1:8" hidden="1">
      <c r="A8" s="65" t="s">
        <v>1351</v>
      </c>
      <c r="B8" s="65" t="s">
        <v>1355</v>
      </c>
      <c r="C8" s="65" t="s">
        <v>74</v>
      </c>
      <c r="D8">
        <v>1</v>
      </c>
      <c r="E8">
        <v>0</v>
      </c>
      <c r="F8">
        <v>0.50703352785617972</v>
      </c>
      <c r="G8" s="65" t="s">
        <v>919</v>
      </c>
      <c r="H8">
        <v>1</v>
      </c>
    </row>
    <row r="9" spans="1:8" hidden="1">
      <c r="A9" s="65" t="s">
        <v>1347</v>
      </c>
      <c r="B9" s="65" t="s">
        <v>1356</v>
      </c>
      <c r="C9" s="65" t="s">
        <v>900</v>
      </c>
      <c r="D9">
        <v>1</v>
      </c>
      <c r="E9">
        <v>0</v>
      </c>
      <c r="F9">
        <v>0.50128803937876409</v>
      </c>
      <c r="G9" s="65" t="s">
        <v>920</v>
      </c>
      <c r="H9">
        <v>1</v>
      </c>
    </row>
    <row r="10" spans="1:8" hidden="1">
      <c r="A10" s="65" t="s">
        <v>1351</v>
      </c>
      <c r="B10" s="65" t="s">
        <v>1357</v>
      </c>
      <c r="C10" s="65" t="s">
        <v>976</v>
      </c>
      <c r="D10">
        <v>1</v>
      </c>
      <c r="E10">
        <v>1</v>
      </c>
      <c r="F10">
        <v>0.85232389201645897</v>
      </c>
      <c r="G10" s="65" t="s">
        <v>977</v>
      </c>
      <c r="H10">
        <v>2</v>
      </c>
    </row>
    <row r="11" spans="1:8" hidden="1">
      <c r="A11" s="65" t="s">
        <v>1349</v>
      </c>
      <c r="B11" s="65" t="s">
        <v>1358</v>
      </c>
      <c r="C11" s="65" t="s">
        <v>845</v>
      </c>
      <c r="D11">
        <v>1</v>
      </c>
      <c r="E11">
        <v>1</v>
      </c>
      <c r="F11">
        <v>0.26199914832137894</v>
      </c>
      <c r="G11" s="65" t="s">
        <v>978</v>
      </c>
      <c r="H11">
        <v>2</v>
      </c>
    </row>
    <row r="12" spans="1:8" hidden="1">
      <c r="A12" s="65" t="s">
        <v>1349</v>
      </c>
      <c r="B12" s="65" t="s">
        <v>1359</v>
      </c>
      <c r="C12" s="65" t="s">
        <v>849</v>
      </c>
      <c r="D12">
        <v>1</v>
      </c>
      <c r="E12">
        <v>1</v>
      </c>
      <c r="F12">
        <v>0.80488214793464874</v>
      </c>
      <c r="G12" s="65" t="s">
        <v>979</v>
      </c>
      <c r="H12">
        <v>2</v>
      </c>
    </row>
    <row r="13" spans="1:8" hidden="1">
      <c r="A13" s="65" t="s">
        <v>1349</v>
      </c>
      <c r="B13" s="65" t="s">
        <v>1360</v>
      </c>
      <c r="C13" s="65" t="s">
        <v>980</v>
      </c>
      <c r="D13">
        <v>1</v>
      </c>
      <c r="E13">
        <v>1</v>
      </c>
      <c r="F13">
        <v>0.21606335345932171</v>
      </c>
      <c r="G13" s="65" t="s">
        <v>981</v>
      </c>
      <c r="H13">
        <v>3</v>
      </c>
    </row>
    <row r="14" spans="1:8" hidden="1">
      <c r="A14" s="65" t="s">
        <v>1347</v>
      </c>
      <c r="B14" s="65" t="s">
        <v>1361</v>
      </c>
      <c r="C14" s="65" t="s">
        <v>798</v>
      </c>
      <c r="D14">
        <v>1</v>
      </c>
      <c r="E14">
        <v>0</v>
      </c>
      <c r="F14">
        <v>0.73379160121806797</v>
      </c>
      <c r="G14" s="65" t="s">
        <v>921</v>
      </c>
      <c r="H14">
        <v>1</v>
      </c>
    </row>
    <row r="15" spans="1:8" hidden="1">
      <c r="A15" s="65" t="s">
        <v>1347</v>
      </c>
      <c r="B15" s="65" t="s">
        <v>1362</v>
      </c>
      <c r="C15" s="65" t="s">
        <v>907</v>
      </c>
      <c r="D15">
        <v>1</v>
      </c>
      <c r="E15">
        <v>1</v>
      </c>
      <c r="F15">
        <v>0.91896811611828555</v>
      </c>
      <c r="G15" s="65" t="s">
        <v>982</v>
      </c>
      <c r="H15">
        <v>2</v>
      </c>
    </row>
    <row r="16" spans="1:8" hidden="1">
      <c r="A16" s="65" t="s">
        <v>1349</v>
      </c>
      <c r="B16" s="65" t="s">
        <v>1363</v>
      </c>
      <c r="C16" s="65" t="s">
        <v>922</v>
      </c>
      <c r="D16">
        <v>1</v>
      </c>
      <c r="E16">
        <v>0</v>
      </c>
      <c r="F16">
        <v>0.77231514013118907</v>
      </c>
      <c r="G16" s="65" t="s">
        <v>923</v>
      </c>
      <c r="H16">
        <v>1</v>
      </c>
    </row>
    <row r="17" spans="1:8" hidden="1">
      <c r="A17" s="65" t="s">
        <v>1349</v>
      </c>
      <c r="B17" s="65" t="s">
        <v>1364</v>
      </c>
      <c r="C17" s="65" t="s">
        <v>854</v>
      </c>
      <c r="D17">
        <v>1</v>
      </c>
      <c r="E17">
        <v>0</v>
      </c>
      <c r="F17">
        <v>2.2479395667362789E-2</v>
      </c>
      <c r="G17" s="65" t="s">
        <v>924</v>
      </c>
      <c r="H17">
        <v>1</v>
      </c>
    </row>
    <row r="18" spans="1:8" hidden="1">
      <c r="A18" s="65" t="s">
        <v>1347</v>
      </c>
      <c r="B18" s="65" t="s">
        <v>1365</v>
      </c>
      <c r="C18" s="65" t="s">
        <v>780</v>
      </c>
      <c r="D18">
        <v>1</v>
      </c>
      <c r="E18">
        <v>0</v>
      </c>
      <c r="F18">
        <v>0.99675028024626955</v>
      </c>
      <c r="G18" s="65" t="s">
        <v>925</v>
      </c>
      <c r="H18">
        <v>1</v>
      </c>
    </row>
    <row r="19" spans="1:8" hidden="1">
      <c r="A19" s="65" t="s">
        <v>1347</v>
      </c>
      <c r="B19" s="65" t="s">
        <v>1366</v>
      </c>
      <c r="C19" s="65" t="s">
        <v>775</v>
      </c>
      <c r="D19">
        <v>1</v>
      </c>
      <c r="E19">
        <v>0</v>
      </c>
      <c r="F19">
        <v>0.57062018225732891</v>
      </c>
      <c r="G19" s="65" t="s">
        <v>926</v>
      </c>
      <c r="H19">
        <v>1</v>
      </c>
    </row>
    <row r="20" spans="1:8" hidden="1">
      <c r="A20" s="65" t="s">
        <v>1347</v>
      </c>
      <c r="B20" s="65" t="s">
        <v>1367</v>
      </c>
      <c r="C20" s="65" t="s">
        <v>790</v>
      </c>
      <c r="D20">
        <v>1</v>
      </c>
      <c r="E20">
        <v>0</v>
      </c>
      <c r="F20">
        <v>0.33250735032695278</v>
      </c>
      <c r="G20" s="65" t="s">
        <v>927</v>
      </c>
      <c r="H20">
        <v>1</v>
      </c>
    </row>
    <row r="21" spans="1:8" hidden="1">
      <c r="A21" s="65" t="s">
        <v>1351</v>
      </c>
      <c r="B21" s="65" t="s">
        <v>1368</v>
      </c>
      <c r="C21" s="65" t="s">
        <v>908</v>
      </c>
      <c r="D21">
        <v>1</v>
      </c>
      <c r="E21">
        <v>1</v>
      </c>
      <c r="F21">
        <v>0.68610283060992927</v>
      </c>
      <c r="G21" s="65" t="s">
        <v>983</v>
      </c>
      <c r="H21">
        <v>2</v>
      </c>
    </row>
    <row r="22" spans="1:8" hidden="1">
      <c r="A22" s="65" t="s">
        <v>1347</v>
      </c>
      <c r="B22" s="65" t="s">
        <v>1369</v>
      </c>
      <c r="C22" s="65" t="s">
        <v>794</v>
      </c>
      <c r="D22">
        <v>1</v>
      </c>
      <c r="E22">
        <v>0</v>
      </c>
      <c r="F22">
        <v>0.85378245449504331</v>
      </c>
      <c r="G22" s="65" t="s">
        <v>928</v>
      </c>
      <c r="H22">
        <v>1</v>
      </c>
    </row>
    <row r="23" spans="1:8" hidden="1">
      <c r="A23" s="65" t="s">
        <v>1351</v>
      </c>
      <c r="B23" s="65" t="s">
        <v>1370</v>
      </c>
      <c r="C23" s="65" t="s">
        <v>909</v>
      </c>
      <c r="D23">
        <v>1</v>
      </c>
      <c r="E23">
        <v>1</v>
      </c>
      <c r="F23">
        <v>0.97469109146237387</v>
      </c>
      <c r="G23" s="65" t="s">
        <v>984</v>
      </c>
      <c r="H23">
        <v>2</v>
      </c>
    </row>
    <row r="24" spans="1:8" hidden="1">
      <c r="A24" s="65" t="s">
        <v>1349</v>
      </c>
      <c r="B24" s="65" t="s">
        <v>1371</v>
      </c>
      <c r="C24" s="65" t="s">
        <v>910</v>
      </c>
      <c r="D24">
        <v>1</v>
      </c>
      <c r="E24">
        <v>1</v>
      </c>
      <c r="F24">
        <v>0.69428831782987177</v>
      </c>
      <c r="G24" s="65" t="s">
        <v>985</v>
      </c>
      <c r="H24">
        <v>2</v>
      </c>
    </row>
    <row r="25" spans="1:8" hidden="1">
      <c r="A25" s="65" t="s">
        <v>1347</v>
      </c>
      <c r="B25" s="65" t="s">
        <v>1372</v>
      </c>
      <c r="C25" s="65" t="s">
        <v>814</v>
      </c>
      <c r="D25">
        <v>1</v>
      </c>
      <c r="E25">
        <v>1</v>
      </c>
      <c r="F25">
        <v>0.57753193113460932</v>
      </c>
      <c r="G25" s="65" t="s">
        <v>986</v>
      </c>
      <c r="H25">
        <v>2</v>
      </c>
    </row>
    <row r="26" spans="1:8" hidden="1">
      <c r="A26" s="65" t="s">
        <v>1347</v>
      </c>
      <c r="B26" s="65" t="s">
        <v>1373</v>
      </c>
      <c r="C26" s="65" t="s">
        <v>818</v>
      </c>
      <c r="D26">
        <v>1</v>
      </c>
      <c r="E26">
        <v>0</v>
      </c>
      <c r="F26">
        <v>3.562709265495434E-2</v>
      </c>
      <c r="G26" s="65" t="s">
        <v>929</v>
      </c>
      <c r="H26">
        <v>1</v>
      </c>
    </row>
    <row r="27" spans="1:8" hidden="1">
      <c r="A27" s="65" t="s">
        <v>1351</v>
      </c>
      <c r="B27" s="65" t="s">
        <v>1374</v>
      </c>
      <c r="C27" s="65" t="s">
        <v>901</v>
      </c>
      <c r="D27">
        <v>1</v>
      </c>
      <c r="E27">
        <v>0</v>
      </c>
      <c r="F27">
        <v>0.47155958335402004</v>
      </c>
      <c r="G27" s="65" t="s">
        <v>1197</v>
      </c>
      <c r="H27">
        <v>1</v>
      </c>
    </row>
    <row r="28" spans="1:8" hidden="1">
      <c r="A28" s="65" t="s">
        <v>1349</v>
      </c>
      <c r="B28" s="65" t="s">
        <v>1375</v>
      </c>
      <c r="C28" s="65" t="s">
        <v>902</v>
      </c>
      <c r="D28">
        <v>1</v>
      </c>
      <c r="E28">
        <v>0</v>
      </c>
      <c r="F28">
        <v>0.6118376279750084</v>
      </c>
      <c r="G28" s="65" t="s">
        <v>930</v>
      </c>
      <c r="H28">
        <v>1</v>
      </c>
    </row>
    <row r="29" spans="1:8" hidden="1">
      <c r="A29" s="65" t="s">
        <v>1349</v>
      </c>
      <c r="B29" s="65" t="s">
        <v>1376</v>
      </c>
      <c r="C29" s="65" t="s">
        <v>973</v>
      </c>
      <c r="D29">
        <v>1</v>
      </c>
      <c r="E29">
        <v>0</v>
      </c>
      <c r="F29">
        <v>0.51765719143753086</v>
      </c>
      <c r="G29" s="65" t="s">
        <v>974</v>
      </c>
      <c r="H29">
        <v>1</v>
      </c>
    </row>
    <row r="30" spans="1:8" hidden="1">
      <c r="A30" s="65" t="s">
        <v>1351</v>
      </c>
      <c r="B30" s="65" t="s">
        <v>1377</v>
      </c>
      <c r="C30" s="65" t="s">
        <v>751</v>
      </c>
      <c r="D30">
        <v>1</v>
      </c>
      <c r="E30">
        <v>1</v>
      </c>
      <c r="F30">
        <v>0.73505746510609493</v>
      </c>
      <c r="G30" s="65" t="s">
        <v>987</v>
      </c>
      <c r="H30">
        <v>3</v>
      </c>
    </row>
    <row r="31" spans="1:8">
      <c r="A31" s="65" t="s">
        <v>1347</v>
      </c>
      <c r="B31" s="65" t="s">
        <v>1378</v>
      </c>
      <c r="C31" s="65" t="s">
        <v>903</v>
      </c>
      <c r="D31">
        <v>1</v>
      </c>
      <c r="E31">
        <v>0</v>
      </c>
      <c r="F31">
        <v>0.15911783800796331</v>
      </c>
      <c r="G31" s="65" t="s">
        <v>931</v>
      </c>
      <c r="H31">
        <v>0</v>
      </c>
    </row>
    <row r="32" spans="1:8">
      <c r="A32" s="65" t="s">
        <v>1351</v>
      </c>
      <c r="B32" s="65" t="s">
        <v>1379</v>
      </c>
      <c r="C32" s="65" t="s">
        <v>756</v>
      </c>
      <c r="D32">
        <v>1</v>
      </c>
      <c r="E32">
        <v>0</v>
      </c>
      <c r="F32">
        <v>0.50850140549414014</v>
      </c>
      <c r="G32" s="65" t="s">
        <v>932</v>
      </c>
      <c r="H32">
        <v>0</v>
      </c>
    </row>
    <row r="33" spans="1:8" hidden="1">
      <c r="A33" s="65" t="s">
        <v>1347</v>
      </c>
      <c r="B33" s="65" t="s">
        <v>1380</v>
      </c>
      <c r="C33" s="65" t="s">
        <v>988</v>
      </c>
      <c r="D33">
        <v>1</v>
      </c>
      <c r="E33">
        <v>1</v>
      </c>
      <c r="F33">
        <v>0.87401761311397341</v>
      </c>
      <c r="G33" s="65" t="s">
        <v>989</v>
      </c>
      <c r="H33">
        <v>2</v>
      </c>
    </row>
    <row r="34" spans="1:8" hidden="1">
      <c r="A34" s="65" t="s">
        <v>1347</v>
      </c>
      <c r="B34" s="65" t="s">
        <v>1381</v>
      </c>
      <c r="C34" s="65" t="s">
        <v>911</v>
      </c>
      <c r="D34">
        <v>1</v>
      </c>
      <c r="E34">
        <v>1</v>
      </c>
      <c r="F34">
        <v>0.6507635475232415</v>
      </c>
      <c r="G34" s="65" t="s">
        <v>990</v>
      </c>
      <c r="H34">
        <v>2</v>
      </c>
    </row>
    <row r="35" spans="1:8" hidden="1">
      <c r="A35" s="65" t="s">
        <v>1351</v>
      </c>
      <c r="B35" s="65" t="s">
        <v>1382</v>
      </c>
      <c r="C35" s="65" t="s">
        <v>741</v>
      </c>
      <c r="D35">
        <v>1</v>
      </c>
      <c r="E35">
        <v>0</v>
      </c>
      <c r="F35">
        <v>0.17174037096405514</v>
      </c>
      <c r="G35" s="65" t="s">
        <v>933</v>
      </c>
      <c r="H35">
        <v>1</v>
      </c>
    </row>
    <row r="36" spans="1:8" hidden="1">
      <c r="A36" s="65" t="s">
        <v>1347</v>
      </c>
      <c r="B36" s="65" t="s">
        <v>1383</v>
      </c>
      <c r="C36" s="65" t="s">
        <v>823</v>
      </c>
      <c r="D36">
        <v>1</v>
      </c>
      <c r="E36">
        <v>1</v>
      </c>
      <c r="F36">
        <v>0.30091432014800312</v>
      </c>
      <c r="G36" s="65" t="s">
        <v>991</v>
      </c>
      <c r="H36">
        <v>2</v>
      </c>
    </row>
    <row r="37" spans="1:8" hidden="1">
      <c r="A37" s="65" t="s">
        <v>1349</v>
      </c>
      <c r="B37" s="65" t="s">
        <v>1384</v>
      </c>
      <c r="C37" s="65" t="s">
        <v>904</v>
      </c>
      <c r="D37">
        <v>1</v>
      </c>
      <c r="E37">
        <v>0</v>
      </c>
      <c r="F37">
        <v>9.5079067448032628E-2</v>
      </c>
      <c r="G37" s="65" t="s">
        <v>934</v>
      </c>
      <c r="H37">
        <v>1</v>
      </c>
    </row>
    <row r="38" spans="1:8" hidden="1">
      <c r="A38" s="65" t="s">
        <v>1347</v>
      </c>
      <c r="B38" s="65" t="s">
        <v>1385</v>
      </c>
      <c r="C38" s="65" t="s">
        <v>828</v>
      </c>
      <c r="D38">
        <v>1</v>
      </c>
      <c r="E38">
        <v>1</v>
      </c>
      <c r="F38">
        <v>0.66033183494746783</v>
      </c>
      <c r="G38" s="65" t="s">
        <v>992</v>
      </c>
      <c r="H38">
        <v>2</v>
      </c>
    </row>
    <row r="39" spans="1:8" hidden="1">
      <c r="A39" s="65" t="s">
        <v>1347</v>
      </c>
      <c r="B39" s="65" t="s">
        <v>1386</v>
      </c>
      <c r="C39" s="65" t="s">
        <v>905</v>
      </c>
      <c r="D39">
        <v>1</v>
      </c>
      <c r="E39">
        <v>0</v>
      </c>
      <c r="F39">
        <v>2.9503932966860047E-3</v>
      </c>
      <c r="G39" s="65" t="s">
        <v>935</v>
      </c>
      <c r="H39">
        <v>1</v>
      </c>
    </row>
    <row r="40" spans="1:8" hidden="1">
      <c r="A40" s="65" t="s">
        <v>1349</v>
      </c>
      <c r="B40" s="65" t="s">
        <v>1387</v>
      </c>
      <c r="C40" s="65" t="s">
        <v>912</v>
      </c>
      <c r="D40">
        <v>1</v>
      </c>
      <c r="E40">
        <v>1</v>
      </c>
      <c r="F40">
        <v>0.75812537004842451</v>
      </c>
      <c r="G40" s="65" t="s">
        <v>993</v>
      </c>
      <c r="H40">
        <v>3</v>
      </c>
    </row>
    <row r="56" spans="3:3">
      <c r="C56">
        <f>11+17+11</f>
        <v>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94D8-4C39-4C74-AFB3-08A40BB386B0}">
  <dimension ref="A1:G39"/>
  <sheetViews>
    <sheetView workbookViewId="0">
      <selection activeCell="E2" sqref="E2:E39"/>
    </sheetView>
  </sheetViews>
  <sheetFormatPr defaultRowHeight="13.2"/>
  <cols>
    <col min="1" max="1" width="12.77734375" bestFit="1" customWidth="1"/>
    <col min="2" max="2" width="75.21875" bestFit="1" customWidth="1"/>
    <col min="3" max="3" width="76.44140625" bestFit="1" customWidth="1"/>
    <col min="4" max="4" width="6" bestFit="1" customWidth="1"/>
    <col min="5" max="5" width="9.77734375" bestFit="1" customWidth="1"/>
    <col min="6" max="6" width="80.88671875" bestFit="1" customWidth="1"/>
    <col min="7" max="7" width="17.5546875" bestFit="1" customWidth="1"/>
  </cols>
  <sheetData>
    <row r="1" spans="1:7">
      <c r="A1" t="s">
        <v>1343</v>
      </c>
      <c r="B1" t="s">
        <v>1344</v>
      </c>
      <c r="C1" t="s">
        <v>1</v>
      </c>
      <c r="D1" t="s">
        <v>896</v>
      </c>
      <c r="E1" t="s">
        <v>894</v>
      </c>
      <c r="F1" t="s">
        <v>913</v>
      </c>
      <c r="G1" t="s">
        <v>707</v>
      </c>
    </row>
    <row r="2" spans="1:7">
      <c r="A2">
        <v>2</v>
      </c>
      <c r="B2" s="65" t="s">
        <v>1388</v>
      </c>
      <c r="C2" s="65" t="s">
        <v>1042</v>
      </c>
      <c r="D2">
        <v>2</v>
      </c>
      <c r="E2">
        <v>1</v>
      </c>
      <c r="F2" s="65" t="s">
        <v>1047</v>
      </c>
      <c r="G2">
        <v>2</v>
      </c>
    </row>
    <row r="3" spans="1:7">
      <c r="A3">
        <v>1</v>
      </c>
      <c r="B3" s="65" t="s">
        <v>1389</v>
      </c>
      <c r="C3" s="65" t="s">
        <v>1043</v>
      </c>
      <c r="D3">
        <v>2</v>
      </c>
      <c r="E3">
        <v>1</v>
      </c>
      <c r="F3" s="65" t="s">
        <v>1048</v>
      </c>
      <c r="G3">
        <v>2</v>
      </c>
    </row>
    <row r="4" spans="1:7" hidden="1">
      <c r="A4">
        <v>1</v>
      </c>
      <c r="B4" s="65" t="s">
        <v>1390</v>
      </c>
      <c r="C4" s="65" t="s">
        <v>1067</v>
      </c>
      <c r="D4">
        <v>2</v>
      </c>
      <c r="E4">
        <v>0</v>
      </c>
      <c r="F4" s="65" t="s">
        <v>1068</v>
      </c>
      <c r="G4">
        <v>1</v>
      </c>
    </row>
    <row r="5" spans="1:7" hidden="1">
      <c r="A5">
        <v>1</v>
      </c>
      <c r="B5" s="65" t="s">
        <v>1391</v>
      </c>
      <c r="C5" s="65" t="s">
        <v>1032</v>
      </c>
      <c r="D5">
        <v>2</v>
      </c>
      <c r="E5">
        <v>0</v>
      </c>
      <c r="F5" s="65" t="s">
        <v>1069</v>
      </c>
      <c r="G5">
        <v>1</v>
      </c>
    </row>
    <row r="6" spans="1:7">
      <c r="A6">
        <v>2</v>
      </c>
      <c r="B6" s="65" t="s">
        <v>1392</v>
      </c>
      <c r="C6" s="65" t="s">
        <v>1044</v>
      </c>
      <c r="D6">
        <v>2</v>
      </c>
      <c r="E6">
        <v>1</v>
      </c>
      <c r="F6" s="65" t="s">
        <v>1206</v>
      </c>
      <c r="G6">
        <v>2</v>
      </c>
    </row>
    <row r="7" spans="1:7">
      <c r="A7">
        <v>2</v>
      </c>
      <c r="B7" s="65" t="s">
        <v>1393</v>
      </c>
      <c r="C7" s="65" t="s">
        <v>1045</v>
      </c>
      <c r="D7">
        <v>2</v>
      </c>
      <c r="E7">
        <v>1</v>
      </c>
      <c r="F7" s="65" t="s">
        <v>1049</v>
      </c>
      <c r="G7">
        <v>2</v>
      </c>
    </row>
    <row r="8" spans="1:7" hidden="1">
      <c r="A8">
        <v>2</v>
      </c>
      <c r="B8" s="65" t="s">
        <v>1394</v>
      </c>
      <c r="C8" s="65" t="s">
        <v>1033</v>
      </c>
      <c r="D8">
        <v>2</v>
      </c>
      <c r="E8">
        <v>0</v>
      </c>
      <c r="F8" s="65" t="s">
        <v>1070</v>
      </c>
      <c r="G8">
        <v>1</v>
      </c>
    </row>
    <row r="9" spans="1:7" hidden="1">
      <c r="A9">
        <v>3</v>
      </c>
      <c r="B9" s="65" t="s">
        <v>1395</v>
      </c>
      <c r="C9" s="65" t="s">
        <v>841</v>
      </c>
      <c r="D9">
        <v>2</v>
      </c>
      <c r="E9">
        <v>0</v>
      </c>
      <c r="F9" s="65" t="s">
        <v>1071</v>
      </c>
      <c r="G9">
        <v>1</v>
      </c>
    </row>
    <row r="10" spans="1:7" hidden="1">
      <c r="A10">
        <v>3</v>
      </c>
      <c r="B10" s="65" t="s">
        <v>1396</v>
      </c>
      <c r="C10" s="65" t="s">
        <v>1199</v>
      </c>
      <c r="D10">
        <v>2</v>
      </c>
      <c r="E10">
        <v>0</v>
      </c>
      <c r="F10" s="65" t="s">
        <v>1200</v>
      </c>
      <c r="G10">
        <v>2</v>
      </c>
    </row>
    <row r="11" spans="1:7">
      <c r="A11">
        <v>2</v>
      </c>
      <c r="B11" s="65" t="s">
        <v>1397</v>
      </c>
      <c r="C11" s="65" t="s">
        <v>1046</v>
      </c>
      <c r="D11">
        <v>2</v>
      </c>
      <c r="E11">
        <v>1</v>
      </c>
      <c r="F11" s="65" t="s">
        <v>1050</v>
      </c>
      <c r="G11">
        <v>2</v>
      </c>
    </row>
    <row r="12" spans="1:7">
      <c r="A12">
        <v>3</v>
      </c>
      <c r="B12" s="65" t="s">
        <v>1398</v>
      </c>
      <c r="C12" s="65" t="s">
        <v>1051</v>
      </c>
      <c r="D12">
        <v>2</v>
      </c>
      <c r="E12">
        <v>1</v>
      </c>
      <c r="F12" s="65" t="s">
        <v>1126</v>
      </c>
      <c r="G12">
        <v>2</v>
      </c>
    </row>
    <row r="13" spans="1:7">
      <c r="A13">
        <v>1</v>
      </c>
      <c r="B13" s="65" t="s">
        <v>1399</v>
      </c>
      <c r="C13" s="65" t="s">
        <v>1052</v>
      </c>
      <c r="D13">
        <v>2</v>
      </c>
      <c r="E13">
        <v>1</v>
      </c>
      <c r="F13" s="65" t="s">
        <v>1053</v>
      </c>
      <c r="G13">
        <v>2</v>
      </c>
    </row>
    <row r="14" spans="1:7">
      <c r="A14">
        <v>2</v>
      </c>
      <c r="B14" s="65" t="s">
        <v>1400</v>
      </c>
      <c r="C14" s="65" t="s">
        <v>1054</v>
      </c>
      <c r="D14">
        <v>2</v>
      </c>
      <c r="E14">
        <v>1</v>
      </c>
      <c r="F14" s="65" t="s">
        <v>1055</v>
      </c>
      <c r="G14">
        <v>2</v>
      </c>
    </row>
    <row r="15" spans="1:7">
      <c r="A15">
        <v>2</v>
      </c>
      <c r="B15" s="65" t="s">
        <v>1401</v>
      </c>
      <c r="C15" s="65" t="s">
        <v>795</v>
      </c>
      <c r="D15">
        <v>2</v>
      </c>
      <c r="E15">
        <v>1</v>
      </c>
      <c r="F15" s="65" t="s">
        <v>1056</v>
      </c>
      <c r="G15">
        <v>2</v>
      </c>
    </row>
    <row r="16" spans="1:7" hidden="1">
      <c r="A16">
        <v>3</v>
      </c>
      <c r="B16" s="65" t="s">
        <v>1402</v>
      </c>
      <c r="C16" s="65" t="s">
        <v>1034</v>
      </c>
      <c r="D16">
        <v>2</v>
      </c>
      <c r="E16">
        <v>0</v>
      </c>
      <c r="F16" s="65" t="s">
        <v>1072</v>
      </c>
      <c r="G16">
        <v>1</v>
      </c>
    </row>
    <row r="17" spans="1:7" hidden="1">
      <c r="A17">
        <v>2</v>
      </c>
      <c r="B17" s="65" t="s">
        <v>1403</v>
      </c>
      <c r="C17" s="65" t="s">
        <v>1073</v>
      </c>
      <c r="D17">
        <v>2</v>
      </c>
      <c r="E17">
        <v>0</v>
      </c>
      <c r="F17" s="65" t="s">
        <v>1074</v>
      </c>
      <c r="G17">
        <v>1</v>
      </c>
    </row>
    <row r="18" spans="1:7">
      <c r="A18">
        <v>3</v>
      </c>
      <c r="B18" s="65" t="s">
        <v>1404</v>
      </c>
      <c r="C18" s="65" t="s">
        <v>850</v>
      </c>
      <c r="D18">
        <v>2</v>
      </c>
      <c r="E18">
        <v>1</v>
      </c>
      <c r="F18" s="65" t="s">
        <v>1057</v>
      </c>
      <c r="G18">
        <v>1</v>
      </c>
    </row>
    <row r="19" spans="1:7" hidden="1">
      <c r="A19">
        <v>1</v>
      </c>
      <c r="B19" s="65" t="s">
        <v>1405</v>
      </c>
      <c r="C19" s="65" t="s">
        <v>724</v>
      </c>
      <c r="D19">
        <v>2</v>
      </c>
      <c r="E19">
        <v>0</v>
      </c>
      <c r="F19" s="65" t="s">
        <v>1075</v>
      </c>
      <c r="G19">
        <v>1</v>
      </c>
    </row>
    <row r="20" spans="1:7">
      <c r="A20">
        <v>2</v>
      </c>
      <c r="B20" s="65" t="s">
        <v>1406</v>
      </c>
      <c r="C20" s="65" t="s">
        <v>786</v>
      </c>
      <c r="D20">
        <v>2</v>
      </c>
      <c r="E20">
        <v>1</v>
      </c>
      <c r="F20" s="65" t="s">
        <v>1058</v>
      </c>
      <c r="G20">
        <v>1</v>
      </c>
    </row>
    <row r="21" spans="1:7" hidden="1">
      <c r="A21">
        <v>3</v>
      </c>
      <c r="B21" s="65" t="s">
        <v>1407</v>
      </c>
      <c r="C21" s="65" t="s">
        <v>1035</v>
      </c>
      <c r="D21">
        <v>2</v>
      </c>
      <c r="E21">
        <v>0</v>
      </c>
      <c r="F21" s="65" t="s">
        <v>1076</v>
      </c>
      <c r="G21">
        <v>1</v>
      </c>
    </row>
    <row r="22" spans="1:7" hidden="1">
      <c r="A22">
        <v>3</v>
      </c>
      <c r="B22" s="65" t="s">
        <v>1408</v>
      </c>
      <c r="C22" s="65" t="s">
        <v>1036</v>
      </c>
      <c r="D22">
        <v>2</v>
      </c>
      <c r="E22">
        <v>0</v>
      </c>
      <c r="F22" s="65" t="s">
        <v>1077</v>
      </c>
      <c r="G22">
        <v>0</v>
      </c>
    </row>
    <row r="23" spans="1:7" hidden="1">
      <c r="A23">
        <v>2</v>
      </c>
      <c r="B23" s="65" t="s">
        <v>1409</v>
      </c>
      <c r="C23" s="65" t="s">
        <v>376</v>
      </c>
      <c r="D23">
        <v>2</v>
      </c>
      <c r="E23">
        <v>0</v>
      </c>
      <c r="F23" s="65" t="s">
        <v>1078</v>
      </c>
      <c r="G23">
        <v>1</v>
      </c>
    </row>
    <row r="24" spans="1:7">
      <c r="A24">
        <v>1</v>
      </c>
      <c r="B24" s="65" t="s">
        <v>1410</v>
      </c>
      <c r="C24" s="65" t="s">
        <v>747</v>
      </c>
      <c r="D24">
        <v>2</v>
      </c>
      <c r="E24">
        <v>1</v>
      </c>
      <c r="F24" s="65" t="s">
        <v>1198</v>
      </c>
      <c r="G24">
        <v>3</v>
      </c>
    </row>
    <row r="25" spans="1:7" hidden="1">
      <c r="A25">
        <v>2</v>
      </c>
      <c r="B25" s="65" t="s">
        <v>1411</v>
      </c>
      <c r="C25" s="65" t="s">
        <v>1037</v>
      </c>
      <c r="D25">
        <v>2</v>
      </c>
      <c r="E25">
        <v>0</v>
      </c>
      <c r="F25" s="65" t="s">
        <v>1079</v>
      </c>
      <c r="G25">
        <v>1</v>
      </c>
    </row>
    <row r="26" spans="1:7">
      <c r="A26">
        <v>2</v>
      </c>
      <c r="B26" s="65" t="s">
        <v>1412</v>
      </c>
      <c r="C26" s="65" t="s">
        <v>815</v>
      </c>
      <c r="D26">
        <v>2</v>
      </c>
      <c r="E26">
        <v>1</v>
      </c>
      <c r="F26" s="65" t="s">
        <v>1059</v>
      </c>
      <c r="G26">
        <v>2</v>
      </c>
    </row>
    <row r="27" spans="1:7" hidden="1">
      <c r="A27">
        <v>1</v>
      </c>
      <c r="B27" s="65" t="s">
        <v>1413</v>
      </c>
      <c r="C27" s="65" t="s">
        <v>1080</v>
      </c>
      <c r="D27">
        <v>2</v>
      </c>
      <c r="E27">
        <v>0</v>
      </c>
      <c r="F27" s="65" t="s">
        <v>1081</v>
      </c>
      <c r="G27">
        <v>1</v>
      </c>
    </row>
    <row r="28" spans="1:7" hidden="1">
      <c r="A28">
        <v>2</v>
      </c>
      <c r="B28" s="65" t="s">
        <v>1414</v>
      </c>
      <c r="C28" s="65" t="s">
        <v>1038</v>
      </c>
      <c r="D28">
        <v>2</v>
      </c>
      <c r="E28">
        <v>0</v>
      </c>
      <c r="F28" s="65" t="s">
        <v>1082</v>
      </c>
      <c r="G28">
        <v>1</v>
      </c>
    </row>
    <row r="29" spans="1:7" hidden="1">
      <c r="A29">
        <v>3</v>
      </c>
      <c r="B29" s="65" t="s">
        <v>1415</v>
      </c>
      <c r="C29" s="65" t="s">
        <v>1083</v>
      </c>
      <c r="D29">
        <v>2</v>
      </c>
      <c r="E29">
        <v>0</v>
      </c>
      <c r="F29" s="65" t="s">
        <v>1084</v>
      </c>
      <c r="G29">
        <v>1</v>
      </c>
    </row>
    <row r="30" spans="1:7">
      <c r="A30">
        <v>3</v>
      </c>
      <c r="B30" s="65" t="s">
        <v>1416</v>
      </c>
      <c r="C30" s="65" t="s">
        <v>1063</v>
      </c>
      <c r="D30">
        <v>2</v>
      </c>
      <c r="E30">
        <v>1</v>
      </c>
      <c r="F30" s="65" t="s">
        <v>1064</v>
      </c>
      <c r="G30">
        <v>3</v>
      </c>
    </row>
    <row r="31" spans="1:7">
      <c r="A31">
        <v>2</v>
      </c>
      <c r="B31" s="65" t="s">
        <v>1417</v>
      </c>
      <c r="C31" s="65" t="s">
        <v>1065</v>
      </c>
      <c r="D31">
        <v>2</v>
      </c>
      <c r="E31">
        <v>1</v>
      </c>
      <c r="F31" s="65" t="s">
        <v>1066</v>
      </c>
      <c r="G31">
        <v>2</v>
      </c>
    </row>
    <row r="32" spans="1:7" hidden="1">
      <c r="A32">
        <v>2</v>
      </c>
      <c r="B32" s="65" t="s">
        <v>1418</v>
      </c>
      <c r="C32" s="65" t="s">
        <v>1039</v>
      </c>
      <c r="D32">
        <v>2</v>
      </c>
      <c r="E32">
        <v>0</v>
      </c>
      <c r="F32" s="65" t="s">
        <v>1085</v>
      </c>
      <c r="G32">
        <v>1</v>
      </c>
    </row>
    <row r="33" spans="1:7">
      <c r="A33">
        <v>1</v>
      </c>
      <c r="B33" s="65" t="s">
        <v>1419</v>
      </c>
      <c r="C33" s="65" t="s">
        <v>742</v>
      </c>
      <c r="D33">
        <v>2</v>
      </c>
      <c r="E33">
        <v>1</v>
      </c>
      <c r="F33" s="65" t="s">
        <v>1090</v>
      </c>
      <c r="G33">
        <v>2</v>
      </c>
    </row>
    <row r="34" spans="1:7">
      <c r="A34">
        <v>2</v>
      </c>
      <c r="B34" s="65" t="s">
        <v>1420</v>
      </c>
      <c r="C34" s="65" t="s">
        <v>824</v>
      </c>
      <c r="D34">
        <v>2</v>
      </c>
      <c r="E34">
        <v>1</v>
      </c>
      <c r="F34" s="65" t="s">
        <v>1060</v>
      </c>
      <c r="G34">
        <v>2</v>
      </c>
    </row>
    <row r="35" spans="1:7" hidden="1">
      <c r="A35">
        <v>1</v>
      </c>
      <c r="B35" s="65" t="s">
        <v>1421</v>
      </c>
      <c r="C35" s="65" t="s">
        <v>1088</v>
      </c>
      <c r="D35">
        <v>2</v>
      </c>
      <c r="E35">
        <v>0</v>
      </c>
      <c r="F35" s="65" t="s">
        <v>1089</v>
      </c>
      <c r="G35">
        <v>1</v>
      </c>
    </row>
    <row r="36" spans="1:7" hidden="1">
      <c r="A36">
        <v>3</v>
      </c>
      <c r="B36" s="65" t="s">
        <v>1422</v>
      </c>
      <c r="C36" s="65" t="s">
        <v>1040</v>
      </c>
      <c r="D36">
        <v>2</v>
      </c>
      <c r="E36">
        <v>0</v>
      </c>
      <c r="F36" s="65" t="s">
        <v>1086</v>
      </c>
      <c r="G36">
        <v>1</v>
      </c>
    </row>
    <row r="37" spans="1:7" hidden="1">
      <c r="A37">
        <v>2</v>
      </c>
      <c r="B37" s="65" t="s">
        <v>1423</v>
      </c>
      <c r="C37" s="65" t="s">
        <v>1041</v>
      </c>
      <c r="D37">
        <v>2</v>
      </c>
      <c r="E37">
        <v>0</v>
      </c>
      <c r="F37" s="65" t="s">
        <v>1087</v>
      </c>
      <c r="G37">
        <v>1</v>
      </c>
    </row>
    <row r="38" spans="1:7">
      <c r="A38">
        <v>3</v>
      </c>
      <c r="B38" s="65" t="s">
        <v>1424</v>
      </c>
      <c r="C38" s="65" t="s">
        <v>874</v>
      </c>
      <c r="D38">
        <v>2</v>
      </c>
      <c r="E38">
        <v>1</v>
      </c>
      <c r="F38" s="65" t="s">
        <v>1061</v>
      </c>
      <c r="G38">
        <v>2</v>
      </c>
    </row>
    <row r="39" spans="1:7">
      <c r="A39">
        <v>1</v>
      </c>
      <c r="B39" s="65" t="s">
        <v>1425</v>
      </c>
      <c r="C39" s="65" t="s">
        <v>737</v>
      </c>
      <c r="D39">
        <v>2</v>
      </c>
      <c r="E39">
        <v>1</v>
      </c>
      <c r="F39" s="65" t="s">
        <v>1062</v>
      </c>
      <c r="G39">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17CB-9B99-4642-A289-93E72C4F1C34}">
  <dimension ref="A1:L60"/>
  <sheetViews>
    <sheetView topLeftCell="A4" zoomScale="55" zoomScaleNormal="55" workbookViewId="0">
      <selection activeCell="M8" sqref="M8"/>
    </sheetView>
  </sheetViews>
  <sheetFormatPr defaultRowHeight="13.2"/>
  <cols>
    <col min="1" max="1" width="18.77734375" style="43" customWidth="1"/>
    <col min="2" max="2" width="40.33203125" style="27" customWidth="1"/>
    <col min="3" max="3" width="7.77734375" style="25" bestFit="1" customWidth="1"/>
    <col min="4" max="4" width="9.33203125" style="25" customWidth="1"/>
    <col min="5" max="5" width="0" hidden="1" customWidth="1"/>
    <col min="6" max="6" width="72.5546875" customWidth="1"/>
    <col min="7" max="7" width="22.109375" customWidth="1"/>
    <col min="8" max="8" width="23.21875" customWidth="1"/>
    <col min="9" max="9" width="25.21875" customWidth="1"/>
  </cols>
  <sheetData>
    <row r="1" spans="1:12">
      <c r="A1" s="44" t="s">
        <v>0</v>
      </c>
      <c r="B1" s="46" t="s">
        <v>1</v>
      </c>
      <c r="C1" s="44" t="s">
        <v>896</v>
      </c>
      <c r="D1" s="44" t="s">
        <v>894</v>
      </c>
      <c r="E1" s="45" t="s">
        <v>897</v>
      </c>
      <c r="F1" s="40" t="s">
        <v>913</v>
      </c>
      <c r="G1" s="41" t="s">
        <v>707</v>
      </c>
    </row>
    <row r="2" spans="1:12" ht="118.8">
      <c r="A2" s="42" t="s">
        <v>1523</v>
      </c>
      <c r="B2" s="38" t="s">
        <v>893</v>
      </c>
      <c r="C2" s="9">
        <v>1</v>
      </c>
      <c r="D2" s="9">
        <v>0</v>
      </c>
      <c r="E2" s="26">
        <f t="shared" ref="E2:E40" ca="1" si="0">RAND()</f>
        <v>0.98730273048638073</v>
      </c>
      <c r="F2" s="29" t="s">
        <v>914</v>
      </c>
      <c r="G2" s="26">
        <v>1</v>
      </c>
    </row>
    <row r="3" spans="1:12" ht="79.2" hidden="1">
      <c r="A3" s="29" t="s">
        <v>956</v>
      </c>
      <c r="B3" s="42" t="s">
        <v>906</v>
      </c>
      <c r="C3" s="9">
        <v>1</v>
      </c>
      <c r="D3" s="9">
        <v>1</v>
      </c>
      <c r="E3" s="24">
        <f t="shared" ca="1" si="0"/>
        <v>0.18581352111328286</v>
      </c>
      <c r="F3" s="29" t="s">
        <v>915</v>
      </c>
      <c r="G3" s="26">
        <v>2</v>
      </c>
    </row>
    <row r="4" spans="1:12" ht="66">
      <c r="A4" s="42" t="s">
        <v>936</v>
      </c>
      <c r="B4" s="42" t="s">
        <v>526</v>
      </c>
      <c r="C4" s="9">
        <v>1</v>
      </c>
      <c r="D4" s="9">
        <v>0</v>
      </c>
      <c r="E4" s="24">
        <f t="shared" ca="1" si="0"/>
        <v>0.80207524866520963</v>
      </c>
      <c r="F4" s="34" t="s">
        <v>916</v>
      </c>
      <c r="G4" s="26">
        <v>1</v>
      </c>
    </row>
    <row r="5" spans="1:12" ht="171.6" hidden="1">
      <c r="A5" s="42" t="s">
        <v>957</v>
      </c>
      <c r="B5" s="42" t="s">
        <v>718</v>
      </c>
      <c r="C5" s="3">
        <v>1</v>
      </c>
      <c r="D5" s="3">
        <v>1</v>
      </c>
      <c r="E5" s="24">
        <f t="shared" ca="1" si="0"/>
        <v>0.29845301227520316</v>
      </c>
      <c r="F5" s="34" t="s">
        <v>917</v>
      </c>
      <c r="G5" s="26">
        <v>2</v>
      </c>
    </row>
    <row r="6" spans="1:12" ht="79.2">
      <c r="A6" s="29" t="s">
        <v>937</v>
      </c>
      <c r="B6" s="42" t="s">
        <v>785</v>
      </c>
      <c r="C6" s="9">
        <v>1</v>
      </c>
      <c r="D6" s="9">
        <v>0</v>
      </c>
      <c r="E6">
        <f t="shared" ca="1" si="0"/>
        <v>0.11865438111573101</v>
      </c>
      <c r="F6" s="28" t="s">
        <v>918</v>
      </c>
      <c r="G6" s="26">
        <v>1</v>
      </c>
    </row>
    <row r="7" spans="1:12" ht="316.8" hidden="1">
      <c r="A7" s="29" t="s">
        <v>958</v>
      </c>
      <c r="B7" s="42" t="s">
        <v>728</v>
      </c>
      <c r="C7" s="3">
        <v>1</v>
      </c>
      <c r="D7" s="3">
        <v>1</v>
      </c>
      <c r="E7">
        <f t="shared" ca="1" si="0"/>
        <v>0.31373174704231455</v>
      </c>
      <c r="F7" s="28" t="s">
        <v>975</v>
      </c>
      <c r="G7" s="26">
        <v>2</v>
      </c>
    </row>
    <row r="8" spans="1:12" ht="171.6">
      <c r="A8" s="29" t="s">
        <v>938</v>
      </c>
      <c r="B8" s="42" t="s">
        <v>74</v>
      </c>
      <c r="C8" s="9">
        <v>1</v>
      </c>
      <c r="D8" s="9">
        <v>0</v>
      </c>
      <c r="E8">
        <f t="shared" ca="1" si="0"/>
        <v>0.73448385331901767</v>
      </c>
      <c r="F8" s="28" t="s">
        <v>919</v>
      </c>
      <c r="G8" s="26">
        <v>1</v>
      </c>
    </row>
    <row r="9" spans="1:12" ht="171.6">
      <c r="A9" s="29" t="s">
        <v>939</v>
      </c>
      <c r="B9" s="42" t="s">
        <v>900</v>
      </c>
      <c r="C9" s="9">
        <v>1</v>
      </c>
      <c r="D9" s="9">
        <v>0</v>
      </c>
      <c r="E9">
        <f t="shared" ca="1" si="0"/>
        <v>0.16525752975517205</v>
      </c>
      <c r="F9" s="28" t="s">
        <v>920</v>
      </c>
      <c r="G9" s="26">
        <v>1</v>
      </c>
      <c r="L9" s="112"/>
    </row>
    <row r="10" spans="1:12" ht="66" hidden="1">
      <c r="A10" s="29" t="s">
        <v>959</v>
      </c>
      <c r="B10" s="42" t="s">
        <v>976</v>
      </c>
      <c r="C10" s="3">
        <v>1</v>
      </c>
      <c r="D10" s="3">
        <v>1</v>
      </c>
      <c r="E10">
        <f t="shared" ca="1" si="0"/>
        <v>0.71791532426107119</v>
      </c>
      <c r="F10" s="28" t="s">
        <v>977</v>
      </c>
      <c r="G10" s="26">
        <v>2</v>
      </c>
    </row>
    <row r="11" spans="1:12" ht="132" hidden="1">
      <c r="A11" s="37" t="s">
        <v>960</v>
      </c>
      <c r="B11" s="42" t="s">
        <v>845</v>
      </c>
      <c r="C11" s="9">
        <v>1</v>
      </c>
      <c r="D11" s="9">
        <v>1</v>
      </c>
      <c r="E11">
        <f t="shared" ca="1" si="0"/>
        <v>0.13873751054402428</v>
      </c>
      <c r="F11" s="28" t="s">
        <v>978</v>
      </c>
      <c r="G11" s="26">
        <v>2</v>
      </c>
    </row>
    <row r="12" spans="1:12" ht="145.19999999999999" hidden="1">
      <c r="A12" s="32" t="s">
        <v>961</v>
      </c>
      <c r="B12" s="42" t="s">
        <v>849</v>
      </c>
      <c r="C12" s="9">
        <v>1</v>
      </c>
      <c r="D12" s="9">
        <v>1</v>
      </c>
      <c r="E12">
        <f t="shared" ca="1" si="0"/>
        <v>0.44454370063755733</v>
      </c>
      <c r="F12" s="28" t="s">
        <v>979</v>
      </c>
      <c r="G12" s="26">
        <v>2</v>
      </c>
    </row>
    <row r="13" spans="1:12" ht="13.2" hidden="1" customHeight="1">
      <c r="A13" s="32" t="s">
        <v>962</v>
      </c>
      <c r="B13" s="42" t="s">
        <v>980</v>
      </c>
      <c r="C13" s="9">
        <v>1</v>
      </c>
      <c r="D13" s="9">
        <v>1</v>
      </c>
      <c r="E13">
        <f t="shared" ca="1" si="0"/>
        <v>0.75253607327655192</v>
      </c>
      <c r="F13" s="28" t="s">
        <v>981</v>
      </c>
      <c r="G13" s="26">
        <v>3</v>
      </c>
    </row>
    <row r="14" spans="1:12" ht="250.8">
      <c r="A14" s="42" t="s">
        <v>940</v>
      </c>
      <c r="B14" s="42" t="s">
        <v>798</v>
      </c>
      <c r="C14" s="9">
        <v>1</v>
      </c>
      <c r="D14" s="9">
        <v>0</v>
      </c>
      <c r="E14">
        <f t="shared" ca="1" si="0"/>
        <v>0.96800219817654276</v>
      </c>
      <c r="F14" s="28" t="s">
        <v>921</v>
      </c>
      <c r="G14" s="26">
        <v>1</v>
      </c>
    </row>
    <row r="15" spans="1:12" ht="13.2" hidden="1" customHeight="1">
      <c r="A15" s="32" t="s">
        <v>899</v>
      </c>
      <c r="B15" s="42" t="s">
        <v>907</v>
      </c>
      <c r="C15" s="9">
        <v>1</v>
      </c>
      <c r="D15" s="9">
        <v>1</v>
      </c>
      <c r="E15">
        <f t="shared" ca="1" si="0"/>
        <v>0.72902079637038197</v>
      </c>
      <c r="F15" s="28" t="s">
        <v>982</v>
      </c>
      <c r="G15" s="26">
        <v>2</v>
      </c>
    </row>
    <row r="16" spans="1:12" ht="211.2">
      <c r="A16" s="29" t="s">
        <v>941</v>
      </c>
      <c r="B16" s="42" t="s">
        <v>922</v>
      </c>
      <c r="C16" s="9">
        <v>1</v>
      </c>
      <c r="D16" s="9">
        <v>0</v>
      </c>
      <c r="E16">
        <f t="shared" ca="1" si="0"/>
        <v>0.39628278793398575</v>
      </c>
      <c r="F16" s="28" t="s">
        <v>923</v>
      </c>
      <c r="G16" s="26">
        <v>1</v>
      </c>
    </row>
    <row r="17" spans="1:7" ht="184.8">
      <c r="A17" s="42" t="s">
        <v>942</v>
      </c>
      <c r="B17" s="38" t="s">
        <v>854</v>
      </c>
      <c r="C17" s="9">
        <v>1</v>
      </c>
      <c r="D17" s="9">
        <v>0</v>
      </c>
      <c r="E17">
        <f t="shared" ca="1" si="0"/>
        <v>6.9998485784618425E-2</v>
      </c>
      <c r="F17" s="28" t="s">
        <v>924</v>
      </c>
      <c r="G17" s="26">
        <v>1</v>
      </c>
    </row>
    <row r="18" spans="1:7" ht="79.2">
      <c r="A18" s="37" t="s">
        <v>943</v>
      </c>
      <c r="B18" s="42" t="s">
        <v>780</v>
      </c>
      <c r="C18" s="9">
        <v>1</v>
      </c>
      <c r="D18" s="9">
        <v>0</v>
      </c>
      <c r="E18">
        <f t="shared" ca="1" si="0"/>
        <v>0.8044060690447763</v>
      </c>
      <c r="F18" s="28" t="s">
        <v>925</v>
      </c>
      <c r="G18" s="26">
        <v>1</v>
      </c>
    </row>
    <row r="19" spans="1:7" ht="105.6">
      <c r="A19" s="33" t="s">
        <v>944</v>
      </c>
      <c r="B19" s="42" t="s">
        <v>775</v>
      </c>
      <c r="C19" s="9">
        <v>1</v>
      </c>
      <c r="D19" s="9">
        <v>0</v>
      </c>
      <c r="E19">
        <f t="shared" ca="1" si="0"/>
        <v>0.90794647026798092</v>
      </c>
      <c r="F19" s="28" t="s">
        <v>926</v>
      </c>
      <c r="G19" s="26">
        <v>1</v>
      </c>
    </row>
    <row r="20" spans="1:7" ht="118.8">
      <c r="A20" s="29" t="s">
        <v>945</v>
      </c>
      <c r="B20" s="42" t="s">
        <v>790</v>
      </c>
      <c r="C20" s="9">
        <v>1</v>
      </c>
      <c r="D20" s="9">
        <v>0</v>
      </c>
      <c r="E20">
        <f t="shared" ca="1" si="0"/>
        <v>0.68695342693391037</v>
      </c>
      <c r="F20" s="28" t="s">
        <v>927</v>
      </c>
      <c r="G20" s="26">
        <v>1</v>
      </c>
    </row>
    <row r="21" spans="1:7" ht="13.2" hidden="1" customHeight="1">
      <c r="A21" s="32" t="s">
        <v>963</v>
      </c>
      <c r="B21" s="42" t="s">
        <v>908</v>
      </c>
      <c r="C21" s="9">
        <v>1</v>
      </c>
      <c r="D21" s="9">
        <v>1</v>
      </c>
      <c r="E21">
        <f t="shared" ca="1" si="0"/>
        <v>0.63668856405644669</v>
      </c>
      <c r="F21" s="28" t="s">
        <v>983</v>
      </c>
      <c r="G21" s="26">
        <v>2</v>
      </c>
    </row>
    <row r="22" spans="1:7" ht="132">
      <c r="A22" s="32" t="s">
        <v>946</v>
      </c>
      <c r="B22" s="42" t="s">
        <v>794</v>
      </c>
      <c r="C22" s="9">
        <v>1</v>
      </c>
      <c r="D22" s="9">
        <v>0</v>
      </c>
      <c r="E22">
        <f t="shared" ca="1" si="0"/>
        <v>0.64471924931433122</v>
      </c>
      <c r="F22" s="28" t="s">
        <v>928</v>
      </c>
      <c r="G22" s="26">
        <v>1</v>
      </c>
    </row>
    <row r="23" spans="1:7" ht="13.2" hidden="1" customHeight="1">
      <c r="A23" s="32" t="s">
        <v>964</v>
      </c>
      <c r="B23" s="42" t="s">
        <v>909</v>
      </c>
      <c r="C23" s="9">
        <v>1</v>
      </c>
      <c r="D23" s="9">
        <v>1</v>
      </c>
      <c r="E23">
        <f t="shared" ca="1" si="0"/>
        <v>0.51330139726423785</v>
      </c>
      <c r="F23" s="28" t="s">
        <v>984</v>
      </c>
      <c r="G23" s="26">
        <v>2</v>
      </c>
    </row>
    <row r="24" spans="1:7" ht="13.2" hidden="1" customHeight="1">
      <c r="A24" s="29" t="s">
        <v>965</v>
      </c>
      <c r="B24" s="42" t="s">
        <v>910</v>
      </c>
      <c r="C24" s="9">
        <v>1</v>
      </c>
      <c r="D24" s="9">
        <v>1</v>
      </c>
      <c r="E24">
        <f t="shared" ca="1" si="0"/>
        <v>0.43754450114129328</v>
      </c>
      <c r="F24" s="28" t="s">
        <v>985</v>
      </c>
      <c r="G24" s="26">
        <v>2</v>
      </c>
    </row>
    <row r="25" spans="1:7" ht="13.2" hidden="1" customHeight="1">
      <c r="A25" s="42" t="s">
        <v>966</v>
      </c>
      <c r="B25" s="42" t="s">
        <v>814</v>
      </c>
      <c r="C25" s="9">
        <v>1</v>
      </c>
      <c r="D25" s="9">
        <v>1</v>
      </c>
      <c r="E25">
        <f t="shared" ca="1" si="0"/>
        <v>0.73814792146796948</v>
      </c>
      <c r="F25" s="28" t="s">
        <v>986</v>
      </c>
      <c r="G25" s="26">
        <v>2</v>
      </c>
    </row>
    <row r="26" spans="1:7" ht="105.6">
      <c r="A26" s="29" t="s">
        <v>947</v>
      </c>
      <c r="B26" s="42" t="s">
        <v>818</v>
      </c>
      <c r="C26" s="9">
        <v>1</v>
      </c>
      <c r="D26" s="9">
        <v>0</v>
      </c>
      <c r="E26">
        <f t="shared" ca="1" si="0"/>
        <v>3.9675180220128281E-2</v>
      </c>
      <c r="F26" s="28" t="s">
        <v>929</v>
      </c>
      <c r="G26" s="26">
        <v>1</v>
      </c>
    </row>
    <row r="27" spans="1:7" ht="145.19999999999999">
      <c r="A27" s="29" t="s">
        <v>948</v>
      </c>
      <c r="B27" s="42" t="s">
        <v>901</v>
      </c>
      <c r="C27" s="9">
        <v>1</v>
      </c>
      <c r="D27" s="9">
        <v>0</v>
      </c>
      <c r="E27">
        <f t="shared" ca="1" si="0"/>
        <v>0.33970910763768414</v>
      </c>
      <c r="F27" s="31" t="s">
        <v>1197</v>
      </c>
      <c r="G27" s="26">
        <v>1</v>
      </c>
    </row>
    <row r="28" spans="1:7" ht="145.19999999999999">
      <c r="A28" s="29" t="s">
        <v>949</v>
      </c>
      <c r="B28" s="42" t="s">
        <v>902</v>
      </c>
      <c r="C28" s="9">
        <v>1</v>
      </c>
      <c r="D28" s="9">
        <v>0</v>
      </c>
      <c r="E28">
        <f t="shared" ca="1" si="0"/>
        <v>0.83177008139206909</v>
      </c>
      <c r="F28" s="28" t="s">
        <v>930</v>
      </c>
      <c r="G28" s="26">
        <v>1</v>
      </c>
    </row>
    <row r="29" spans="1:7" ht="198">
      <c r="A29" s="29" t="s">
        <v>950</v>
      </c>
      <c r="B29" s="42" t="s">
        <v>973</v>
      </c>
      <c r="C29" s="9">
        <v>1</v>
      </c>
      <c r="D29" s="9">
        <v>0</v>
      </c>
      <c r="E29">
        <f t="shared" ca="1" si="0"/>
        <v>0.16791565814996279</v>
      </c>
      <c r="F29" s="28" t="s">
        <v>974</v>
      </c>
      <c r="G29" s="26">
        <v>1</v>
      </c>
    </row>
    <row r="30" spans="1:7" ht="264" hidden="1">
      <c r="A30" s="29" t="s">
        <v>967</v>
      </c>
      <c r="B30" s="42" t="s">
        <v>751</v>
      </c>
      <c r="C30" s="9">
        <v>1</v>
      </c>
      <c r="D30" s="9">
        <v>1</v>
      </c>
      <c r="E30">
        <f t="shared" ca="1" si="0"/>
        <v>8.1257728142915431E-2</v>
      </c>
      <c r="F30" s="28" t="s">
        <v>987</v>
      </c>
      <c r="G30" s="26">
        <v>3</v>
      </c>
    </row>
    <row r="31" spans="1:7" ht="118.8">
      <c r="A31" s="29" t="s">
        <v>951</v>
      </c>
      <c r="B31" s="42" t="s">
        <v>903</v>
      </c>
      <c r="C31" s="9">
        <v>1</v>
      </c>
      <c r="D31" s="9">
        <v>0</v>
      </c>
      <c r="E31">
        <f t="shared" ca="1" si="0"/>
        <v>0.87401957683015308</v>
      </c>
      <c r="F31" s="28" t="s">
        <v>931</v>
      </c>
      <c r="G31" s="26">
        <v>0</v>
      </c>
    </row>
    <row r="32" spans="1:7" ht="92.4">
      <c r="A32" s="42" t="s">
        <v>952</v>
      </c>
      <c r="B32" s="42" t="s">
        <v>756</v>
      </c>
      <c r="C32" s="9">
        <v>1</v>
      </c>
      <c r="D32" s="9">
        <v>0</v>
      </c>
      <c r="E32">
        <f t="shared" ca="1" si="0"/>
        <v>0.60816776656198779</v>
      </c>
      <c r="F32" s="28" t="s">
        <v>932</v>
      </c>
      <c r="G32" s="26">
        <v>0</v>
      </c>
    </row>
    <row r="33" spans="1:9" ht="92.4" hidden="1">
      <c r="A33" s="29" t="s">
        <v>968</v>
      </c>
      <c r="B33" s="42" t="s">
        <v>988</v>
      </c>
      <c r="C33" s="9">
        <v>1</v>
      </c>
      <c r="D33" s="9">
        <v>1</v>
      </c>
      <c r="E33">
        <f t="shared" ca="1" si="0"/>
        <v>0.44499422439297021</v>
      </c>
      <c r="F33" s="28" t="s">
        <v>989</v>
      </c>
      <c r="G33" s="26">
        <v>2</v>
      </c>
    </row>
    <row r="34" spans="1:9" ht="264" hidden="1">
      <c r="A34" s="32" t="s">
        <v>969</v>
      </c>
      <c r="B34" s="42" t="s">
        <v>911</v>
      </c>
      <c r="C34" s="9">
        <v>1</v>
      </c>
      <c r="D34" s="26">
        <v>1</v>
      </c>
      <c r="E34">
        <f t="shared" ca="1" si="0"/>
        <v>0.81119397545730643</v>
      </c>
      <c r="F34" s="28" t="s">
        <v>990</v>
      </c>
      <c r="G34" s="26">
        <v>2</v>
      </c>
    </row>
    <row r="35" spans="1:9" ht="330">
      <c r="A35" s="42" t="s">
        <v>953</v>
      </c>
      <c r="B35" s="42" t="s">
        <v>741</v>
      </c>
      <c r="C35" s="9">
        <v>1</v>
      </c>
      <c r="D35" s="9">
        <v>0</v>
      </c>
      <c r="E35">
        <f t="shared" ca="1" si="0"/>
        <v>0.15399313066942089</v>
      </c>
      <c r="F35" s="28" t="s">
        <v>933</v>
      </c>
      <c r="G35" s="26">
        <v>1</v>
      </c>
    </row>
    <row r="36" spans="1:9" ht="92.4" hidden="1">
      <c r="A36" s="31" t="s">
        <v>970</v>
      </c>
      <c r="B36" s="42" t="s">
        <v>823</v>
      </c>
      <c r="C36" s="9">
        <v>1</v>
      </c>
      <c r="D36" s="9">
        <v>1</v>
      </c>
      <c r="E36">
        <f t="shared" ca="1" si="0"/>
        <v>0.5732366225566804</v>
      </c>
      <c r="F36" s="28" t="s">
        <v>991</v>
      </c>
      <c r="G36" s="26">
        <v>2</v>
      </c>
    </row>
    <row r="37" spans="1:9" ht="171.6">
      <c r="A37" s="29" t="s">
        <v>954</v>
      </c>
      <c r="B37" s="42" t="s">
        <v>904</v>
      </c>
      <c r="C37" s="9">
        <v>1</v>
      </c>
      <c r="D37" s="9">
        <v>0</v>
      </c>
      <c r="E37">
        <f t="shared" ca="1" si="0"/>
        <v>0.11911517192820642</v>
      </c>
      <c r="F37" s="28" t="s">
        <v>934</v>
      </c>
      <c r="G37" s="26">
        <v>1</v>
      </c>
    </row>
    <row r="38" spans="1:9" ht="132" hidden="1">
      <c r="A38" s="42" t="s">
        <v>971</v>
      </c>
      <c r="B38" s="42" t="s">
        <v>828</v>
      </c>
      <c r="C38" s="9">
        <v>1</v>
      </c>
      <c r="D38" s="9">
        <v>1</v>
      </c>
      <c r="E38">
        <f t="shared" ca="1" si="0"/>
        <v>0.17230377346723291</v>
      </c>
      <c r="F38" s="28" t="s">
        <v>992</v>
      </c>
      <c r="G38" s="26">
        <v>2</v>
      </c>
    </row>
    <row r="39" spans="1:9" ht="211.2" hidden="1">
      <c r="A39" s="31" t="s">
        <v>955</v>
      </c>
      <c r="B39" s="42" t="s">
        <v>905</v>
      </c>
      <c r="C39" s="9">
        <v>1</v>
      </c>
      <c r="D39" s="9">
        <v>1</v>
      </c>
      <c r="E39">
        <f t="shared" ca="1" si="0"/>
        <v>0.63904834710995206</v>
      </c>
      <c r="F39" s="31" t="s">
        <v>935</v>
      </c>
      <c r="G39" s="26">
        <v>2</v>
      </c>
    </row>
    <row r="40" spans="1:9" ht="303.60000000000002" hidden="1">
      <c r="A40" s="31" t="s">
        <v>972</v>
      </c>
      <c r="B40" s="29" t="s">
        <v>912</v>
      </c>
      <c r="C40" s="26">
        <v>1</v>
      </c>
      <c r="D40" s="9">
        <v>1</v>
      </c>
      <c r="E40">
        <f t="shared" ca="1" si="0"/>
        <v>0.1525653553671753</v>
      </c>
      <c r="F40" s="28" t="s">
        <v>993</v>
      </c>
      <c r="G40" s="26">
        <v>3</v>
      </c>
    </row>
    <row r="41" spans="1:9">
      <c r="G41" s="25"/>
    </row>
    <row r="42" spans="1:9">
      <c r="G42" s="25"/>
    </row>
    <row r="43" spans="1:9">
      <c r="G43" s="25"/>
    </row>
    <row r="45" spans="1:9" ht="15">
      <c r="F45" s="47"/>
      <c r="G45" s="50" t="s">
        <v>886</v>
      </c>
      <c r="H45" s="50" t="s">
        <v>887</v>
      </c>
      <c r="I45" s="51"/>
    </row>
    <row r="46" spans="1:9" ht="15">
      <c r="F46" s="47"/>
      <c r="G46" s="68">
        <f>(COUNTIF($G$2:$G$40, 1)/39)*100</f>
        <v>46.153846153846153</v>
      </c>
      <c r="H46" s="68">
        <f>(COUNTIF($G$2:$G$40, 0)/39)*100</f>
        <v>5.1282051282051277</v>
      </c>
      <c r="I46" s="49"/>
    </row>
    <row r="47" spans="1:9" ht="15">
      <c r="F47" s="48" t="s">
        <v>888</v>
      </c>
      <c r="G47" s="69"/>
      <c r="H47" s="68"/>
      <c r="I47" s="49"/>
    </row>
    <row r="48" spans="1:9" ht="15">
      <c r="F48" s="48"/>
      <c r="G48" s="69"/>
      <c r="H48" s="68"/>
      <c r="I48" s="49"/>
    </row>
    <row r="49" spans="6:9" ht="15">
      <c r="F49" s="48"/>
      <c r="G49" s="70">
        <f>(COUNTIF($G$2:$G$40, 2)/39)*100</f>
        <v>41.025641025641022</v>
      </c>
      <c r="H49" s="68">
        <f>(COUNTIF($G$2:$G$40, 3)/39)*100</f>
        <v>7.6923076923076925</v>
      </c>
      <c r="I49" s="49"/>
    </row>
    <row r="50" spans="6:9" ht="15">
      <c r="F50" s="48" t="s">
        <v>889</v>
      </c>
      <c r="G50" s="69"/>
      <c r="H50" s="68"/>
      <c r="I50" s="49"/>
    </row>
    <row r="51" spans="6:9" ht="15">
      <c r="F51" s="47"/>
      <c r="G51" s="69"/>
      <c r="H51" s="68"/>
      <c r="I51" s="49"/>
    </row>
    <row r="54" spans="6:9" ht="15">
      <c r="F54" s="47"/>
      <c r="G54" s="50" t="s">
        <v>886</v>
      </c>
      <c r="H54" s="50" t="s">
        <v>887</v>
      </c>
    </row>
    <row r="55" spans="6:9" ht="15">
      <c r="F55" s="47"/>
      <c r="G55" s="68">
        <f>(COUNTIF($G$2:$G$40,1))</f>
        <v>18</v>
      </c>
      <c r="H55" s="68">
        <f>(COUNTIF($G$2:$G$40, 0))</f>
        <v>2</v>
      </c>
    </row>
    <row r="56" spans="6:9" ht="15">
      <c r="F56" s="48" t="s">
        <v>888</v>
      </c>
      <c r="G56" s="69"/>
      <c r="H56" s="68"/>
    </row>
    <row r="57" spans="6:9" ht="15">
      <c r="F57" s="48"/>
      <c r="G57" s="69"/>
      <c r="H57" s="68"/>
    </row>
    <row r="58" spans="6:9" ht="15">
      <c r="F58" s="48"/>
      <c r="G58" s="70">
        <f>(COUNTIF($G$2:$G$40, 2))</f>
        <v>16</v>
      </c>
      <c r="H58" s="68">
        <f>(COUNTIF($G$2:$G$40,3))</f>
        <v>3</v>
      </c>
    </row>
    <row r="59" spans="6:9" ht="15">
      <c r="F59" s="48" t="s">
        <v>889</v>
      </c>
      <c r="G59" s="69"/>
      <c r="H59" s="68"/>
    </row>
    <row r="60" spans="6:9" ht="15">
      <c r="F60" s="47"/>
      <c r="G60" s="69"/>
      <c r="H60" s="68"/>
    </row>
  </sheetData>
  <sortState xmlns:xlrd2="http://schemas.microsoft.com/office/spreadsheetml/2017/richdata2" ref="D2:E40">
    <sortCondition ref="E2:E40"/>
    <sortCondition ref="D2:D40"/>
  </sortState>
  <mergeCells count="8">
    <mergeCell ref="G58:G60"/>
    <mergeCell ref="H58:H60"/>
    <mergeCell ref="G46:G48"/>
    <mergeCell ref="G49:G51"/>
    <mergeCell ref="H46:H48"/>
    <mergeCell ref="H49:H51"/>
    <mergeCell ref="G55:G57"/>
    <mergeCell ref="H55:H57"/>
  </mergeCells>
  <pageMargins left="0.7" right="0.7" top="0.75" bottom="0.75" header="0.3" footer="0.3"/>
  <pageSetup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3F12-B182-4271-B1E8-0068798B0102}">
  <dimension ref="A1:L82"/>
  <sheetViews>
    <sheetView zoomScale="55" zoomScaleNormal="55" workbookViewId="0">
      <selection activeCell="E58" sqref="E58"/>
    </sheetView>
  </sheetViews>
  <sheetFormatPr defaultRowHeight="13.2"/>
  <cols>
    <col min="1" max="1" width="40.6640625" customWidth="1"/>
    <col min="2" max="2" width="51" bestFit="1" customWidth="1"/>
    <col min="4" max="4" width="9.33203125" customWidth="1"/>
    <col min="5" max="5" width="79.6640625" customWidth="1"/>
    <col min="6" max="6" width="27.6640625" customWidth="1"/>
    <col min="7" max="8" width="21" bestFit="1" customWidth="1"/>
  </cols>
  <sheetData>
    <row r="1" spans="1:12">
      <c r="A1" s="39" t="s">
        <v>0</v>
      </c>
      <c r="B1" s="39" t="s">
        <v>1</v>
      </c>
      <c r="C1" s="39" t="s">
        <v>896</v>
      </c>
      <c r="D1" s="39" t="s">
        <v>894</v>
      </c>
      <c r="E1" s="40" t="s">
        <v>913</v>
      </c>
      <c r="F1" s="41" t="s">
        <v>707</v>
      </c>
    </row>
    <row r="2" spans="1:12" ht="158.4" hidden="1">
      <c r="A2" s="36" t="s">
        <v>994</v>
      </c>
      <c r="B2" s="32" t="s">
        <v>1042</v>
      </c>
      <c r="C2" s="9">
        <v>2</v>
      </c>
      <c r="D2" s="9">
        <v>1</v>
      </c>
      <c r="E2" s="31" t="s">
        <v>1047</v>
      </c>
      <c r="F2" s="26">
        <v>2</v>
      </c>
    </row>
    <row r="3" spans="1:12" ht="66" hidden="1">
      <c r="A3" s="35" t="s">
        <v>995</v>
      </c>
      <c r="B3" s="32" t="s">
        <v>1043</v>
      </c>
      <c r="C3" s="9">
        <v>2</v>
      </c>
      <c r="D3" s="9">
        <v>1</v>
      </c>
      <c r="E3" s="28" t="s">
        <v>1048</v>
      </c>
      <c r="F3" s="26">
        <v>2</v>
      </c>
    </row>
    <row r="4" spans="1:12" ht="198" hidden="1">
      <c r="A4" s="37" t="s">
        <v>996</v>
      </c>
      <c r="B4" s="32" t="s">
        <v>1067</v>
      </c>
      <c r="C4" s="9">
        <v>2</v>
      </c>
      <c r="D4" s="9">
        <v>0</v>
      </c>
      <c r="E4" s="31" t="s">
        <v>1068</v>
      </c>
      <c r="F4" s="26">
        <v>1</v>
      </c>
    </row>
    <row r="5" spans="1:12" ht="171.6" hidden="1">
      <c r="A5" s="31" t="s">
        <v>997</v>
      </c>
      <c r="B5" s="32" t="s">
        <v>1032</v>
      </c>
      <c r="C5" s="9">
        <v>2</v>
      </c>
      <c r="D5" s="9">
        <v>0</v>
      </c>
      <c r="E5" s="31" t="s">
        <v>1069</v>
      </c>
      <c r="F5" s="26">
        <v>1</v>
      </c>
    </row>
    <row r="6" spans="1:12" ht="120" hidden="1" customHeight="1">
      <c r="A6" s="32" t="s">
        <v>998</v>
      </c>
      <c r="B6" s="32" t="s">
        <v>1044</v>
      </c>
      <c r="C6" s="9">
        <v>2</v>
      </c>
      <c r="D6" s="9">
        <v>1</v>
      </c>
      <c r="E6" s="31" t="s">
        <v>1206</v>
      </c>
      <c r="F6" s="26">
        <v>2</v>
      </c>
    </row>
    <row r="7" spans="1:12" ht="151.80000000000001" hidden="1" customHeight="1">
      <c r="A7" s="32" t="s">
        <v>999</v>
      </c>
      <c r="B7" s="32" t="s">
        <v>1045</v>
      </c>
      <c r="C7" s="9">
        <v>2</v>
      </c>
      <c r="D7" s="9">
        <v>1</v>
      </c>
      <c r="E7" s="31" t="s">
        <v>1049</v>
      </c>
      <c r="F7" s="26">
        <v>2</v>
      </c>
    </row>
    <row r="8" spans="1:12" ht="184.8" hidden="1">
      <c r="A8" s="37" t="s">
        <v>1000</v>
      </c>
      <c r="B8" s="32" t="s">
        <v>1033</v>
      </c>
      <c r="C8" s="9">
        <v>2</v>
      </c>
      <c r="D8" s="9">
        <v>0</v>
      </c>
      <c r="E8" s="31" t="s">
        <v>1070</v>
      </c>
      <c r="F8" s="26">
        <v>1</v>
      </c>
    </row>
    <row r="9" spans="1:12" ht="145.19999999999999" hidden="1">
      <c r="A9" s="37" t="s">
        <v>1001</v>
      </c>
      <c r="B9" s="32" t="s">
        <v>841</v>
      </c>
      <c r="C9" s="9">
        <v>2</v>
      </c>
      <c r="D9" s="9">
        <v>0</v>
      </c>
      <c r="E9" s="31" t="s">
        <v>1071</v>
      </c>
      <c r="F9" s="26">
        <v>1</v>
      </c>
      <c r="L9" s="111"/>
    </row>
    <row r="10" spans="1:12" ht="198">
      <c r="A10" s="37" t="s">
        <v>1002</v>
      </c>
      <c r="B10" s="32" t="s">
        <v>1199</v>
      </c>
      <c r="C10" s="26">
        <v>2</v>
      </c>
      <c r="D10" s="9">
        <v>0</v>
      </c>
      <c r="E10" s="31" t="s">
        <v>1200</v>
      </c>
      <c r="F10" s="26">
        <v>1</v>
      </c>
    </row>
    <row r="11" spans="1:12" ht="213.6" hidden="1" customHeight="1">
      <c r="A11" s="32" t="s">
        <v>1003</v>
      </c>
      <c r="B11" s="32" t="s">
        <v>1046</v>
      </c>
      <c r="C11" s="9">
        <v>2</v>
      </c>
      <c r="D11" s="9">
        <v>1</v>
      </c>
      <c r="E11" s="31" t="s">
        <v>1050</v>
      </c>
      <c r="F11" s="26">
        <v>2</v>
      </c>
    </row>
    <row r="12" spans="1:12" ht="119.4" hidden="1" customHeight="1">
      <c r="A12" s="32" t="s">
        <v>1004</v>
      </c>
      <c r="B12" s="32" t="s">
        <v>1051</v>
      </c>
      <c r="C12" s="9">
        <v>2</v>
      </c>
      <c r="D12" s="9">
        <v>1</v>
      </c>
      <c r="E12" s="52" t="s">
        <v>1126</v>
      </c>
      <c r="F12" s="26">
        <v>2</v>
      </c>
    </row>
    <row r="13" spans="1:12" ht="211.2" hidden="1" customHeight="1">
      <c r="A13" s="32" t="s">
        <v>1005</v>
      </c>
      <c r="B13" s="32" t="s">
        <v>1052</v>
      </c>
      <c r="C13" s="9">
        <v>2</v>
      </c>
      <c r="D13" s="9">
        <v>1</v>
      </c>
      <c r="E13" s="31" t="s">
        <v>1053</v>
      </c>
      <c r="F13" s="26">
        <v>2</v>
      </c>
    </row>
    <row r="14" spans="1:12" ht="277.2" hidden="1" customHeight="1">
      <c r="A14" s="32" t="s">
        <v>1006</v>
      </c>
      <c r="B14" s="32" t="s">
        <v>1054</v>
      </c>
      <c r="C14" s="9">
        <v>2</v>
      </c>
      <c r="D14" s="9">
        <v>1</v>
      </c>
      <c r="E14" s="28" t="s">
        <v>1055</v>
      </c>
      <c r="F14" s="26">
        <v>2</v>
      </c>
    </row>
    <row r="15" spans="1:12" ht="184.8" hidden="1" customHeight="1">
      <c r="A15" s="32" t="s">
        <v>1007</v>
      </c>
      <c r="B15" s="32" t="s">
        <v>795</v>
      </c>
      <c r="C15" s="9">
        <v>2</v>
      </c>
      <c r="D15" s="9">
        <v>1</v>
      </c>
      <c r="E15" s="28" t="s">
        <v>1056</v>
      </c>
      <c r="F15" s="26">
        <v>2</v>
      </c>
    </row>
    <row r="16" spans="1:12" ht="171.6" hidden="1">
      <c r="A16" s="37" t="s">
        <v>1008</v>
      </c>
      <c r="B16" s="32" t="s">
        <v>1034</v>
      </c>
      <c r="C16" s="9">
        <v>2</v>
      </c>
      <c r="D16" s="9">
        <v>0</v>
      </c>
      <c r="E16" s="31" t="s">
        <v>1072</v>
      </c>
      <c r="F16" s="26">
        <v>1</v>
      </c>
    </row>
    <row r="17" spans="1:6" ht="132" hidden="1">
      <c r="A17" s="37" t="s">
        <v>1009</v>
      </c>
      <c r="B17" s="32" t="s">
        <v>1073</v>
      </c>
      <c r="C17" s="9">
        <v>2</v>
      </c>
      <c r="D17" s="9">
        <v>0</v>
      </c>
      <c r="E17" s="31" t="s">
        <v>1074</v>
      </c>
      <c r="F17" s="26">
        <v>1</v>
      </c>
    </row>
    <row r="18" spans="1:6" ht="277.2" hidden="1" customHeight="1">
      <c r="A18" s="36" t="s">
        <v>1010</v>
      </c>
      <c r="B18" s="32" t="s">
        <v>850</v>
      </c>
      <c r="C18" s="9">
        <v>2</v>
      </c>
      <c r="D18" s="9">
        <v>1</v>
      </c>
      <c r="E18" s="28" t="s">
        <v>1057</v>
      </c>
      <c r="F18" s="26">
        <v>2</v>
      </c>
    </row>
    <row r="19" spans="1:6" ht="198" hidden="1">
      <c r="A19" s="37" t="s">
        <v>1011</v>
      </c>
      <c r="B19" s="32" t="s">
        <v>724</v>
      </c>
      <c r="C19" s="9">
        <v>2</v>
      </c>
      <c r="D19" s="9">
        <v>0</v>
      </c>
      <c r="E19" s="31" t="s">
        <v>1075</v>
      </c>
      <c r="F19" s="26">
        <v>1</v>
      </c>
    </row>
    <row r="20" spans="1:6" ht="118.8" hidden="1">
      <c r="A20" s="32" t="s">
        <v>1012</v>
      </c>
      <c r="B20" s="32" t="s">
        <v>786</v>
      </c>
      <c r="C20" s="9">
        <v>2</v>
      </c>
      <c r="D20" s="9">
        <v>1</v>
      </c>
      <c r="E20" s="28" t="s">
        <v>1058</v>
      </c>
      <c r="F20" s="26">
        <v>2</v>
      </c>
    </row>
    <row r="21" spans="1:6" ht="132" hidden="1">
      <c r="A21" s="37" t="s">
        <v>1013</v>
      </c>
      <c r="B21" s="32" t="s">
        <v>1035</v>
      </c>
      <c r="C21" s="9">
        <v>2</v>
      </c>
      <c r="D21" s="9">
        <v>0</v>
      </c>
      <c r="E21" s="31" t="s">
        <v>1076</v>
      </c>
      <c r="F21" s="26">
        <v>1</v>
      </c>
    </row>
    <row r="22" spans="1:6" ht="184.8" hidden="1">
      <c r="A22" s="42" t="s">
        <v>1014</v>
      </c>
      <c r="B22" s="32" t="s">
        <v>1036</v>
      </c>
      <c r="C22" s="9">
        <v>2</v>
      </c>
      <c r="D22" s="9">
        <v>0</v>
      </c>
      <c r="E22" s="31" t="s">
        <v>1077</v>
      </c>
      <c r="F22" s="26">
        <v>0</v>
      </c>
    </row>
    <row r="23" spans="1:6" ht="145.19999999999999" hidden="1">
      <c r="A23" s="37" t="s">
        <v>1015</v>
      </c>
      <c r="B23" s="32" t="s">
        <v>376</v>
      </c>
      <c r="C23" s="9">
        <v>2</v>
      </c>
      <c r="D23" s="9">
        <v>0</v>
      </c>
      <c r="E23" s="31" t="s">
        <v>1078</v>
      </c>
      <c r="F23" s="26">
        <v>1</v>
      </c>
    </row>
    <row r="24" spans="1:6" ht="356.4" hidden="1">
      <c r="A24" s="32" t="s">
        <v>1016</v>
      </c>
      <c r="B24" s="32" t="s">
        <v>747</v>
      </c>
      <c r="C24" s="9">
        <v>2</v>
      </c>
      <c r="D24" s="9">
        <v>1</v>
      </c>
      <c r="E24" s="31" t="s">
        <v>1198</v>
      </c>
      <c r="F24" s="26">
        <v>3</v>
      </c>
    </row>
    <row r="25" spans="1:6" ht="118.8" hidden="1">
      <c r="A25" s="42" t="s">
        <v>1017</v>
      </c>
      <c r="B25" s="32" t="s">
        <v>1037</v>
      </c>
      <c r="C25" s="9">
        <v>2</v>
      </c>
      <c r="D25" s="9">
        <v>0</v>
      </c>
      <c r="E25" s="31" t="s">
        <v>1079</v>
      </c>
      <c r="F25" s="26">
        <v>1</v>
      </c>
    </row>
    <row r="26" spans="1:6" ht="171.6" hidden="1">
      <c r="A26" s="32" t="s">
        <v>1018</v>
      </c>
      <c r="B26" s="32" t="s">
        <v>815</v>
      </c>
      <c r="C26" s="9">
        <v>2</v>
      </c>
      <c r="D26" s="9">
        <v>1</v>
      </c>
      <c r="E26" s="28" t="s">
        <v>1059</v>
      </c>
      <c r="F26" s="26">
        <v>2</v>
      </c>
    </row>
    <row r="27" spans="1:6" ht="79.2" hidden="1">
      <c r="A27" s="37" t="s">
        <v>1019</v>
      </c>
      <c r="B27" s="32" t="s">
        <v>1080</v>
      </c>
      <c r="C27" s="9">
        <v>2</v>
      </c>
      <c r="D27" s="9">
        <v>0</v>
      </c>
      <c r="E27" s="31" t="s">
        <v>1081</v>
      </c>
      <c r="F27" s="26">
        <v>1</v>
      </c>
    </row>
    <row r="28" spans="1:6" ht="211.2" hidden="1">
      <c r="A28" s="37" t="s">
        <v>1020</v>
      </c>
      <c r="B28" s="32" t="s">
        <v>1038</v>
      </c>
      <c r="C28" s="9">
        <v>2</v>
      </c>
      <c r="D28" s="9">
        <v>0</v>
      </c>
      <c r="E28" s="31" t="s">
        <v>1082</v>
      </c>
      <c r="F28" s="26">
        <v>1</v>
      </c>
    </row>
    <row r="29" spans="1:6" ht="132" hidden="1">
      <c r="A29" s="37" t="s">
        <v>1021</v>
      </c>
      <c r="B29" s="32" t="s">
        <v>1083</v>
      </c>
      <c r="C29" s="9">
        <v>2</v>
      </c>
      <c r="D29" s="9">
        <v>0</v>
      </c>
      <c r="E29" s="31" t="s">
        <v>1084</v>
      </c>
      <c r="F29" s="26">
        <v>1</v>
      </c>
    </row>
    <row r="30" spans="1:6" ht="382.8" hidden="1">
      <c r="A30" s="32" t="s">
        <v>1022</v>
      </c>
      <c r="B30" s="32" t="s">
        <v>1063</v>
      </c>
      <c r="C30" s="9">
        <v>2</v>
      </c>
      <c r="D30" s="9">
        <v>1</v>
      </c>
      <c r="E30" s="28" t="s">
        <v>1064</v>
      </c>
      <c r="F30" s="26">
        <v>3</v>
      </c>
    </row>
    <row r="31" spans="1:6" ht="303.60000000000002" hidden="1">
      <c r="A31" s="32" t="s">
        <v>1023</v>
      </c>
      <c r="B31" s="32" t="s">
        <v>1065</v>
      </c>
      <c r="C31" s="9">
        <v>2</v>
      </c>
      <c r="D31" s="9">
        <v>1</v>
      </c>
      <c r="E31" s="28" t="s">
        <v>1066</v>
      </c>
      <c r="F31" s="26">
        <v>2</v>
      </c>
    </row>
    <row r="32" spans="1:6" ht="105.6" hidden="1">
      <c r="A32" s="42" t="s">
        <v>1024</v>
      </c>
      <c r="B32" s="32" t="s">
        <v>1039</v>
      </c>
      <c r="C32" s="9">
        <v>2</v>
      </c>
      <c r="D32" s="9">
        <v>0</v>
      </c>
      <c r="E32" s="31" t="s">
        <v>1085</v>
      </c>
      <c r="F32" s="26">
        <v>1</v>
      </c>
    </row>
    <row r="33" spans="1:8" ht="198" hidden="1">
      <c r="A33" s="32" t="s">
        <v>1025</v>
      </c>
      <c r="B33" s="32" t="s">
        <v>742</v>
      </c>
      <c r="C33" s="9">
        <v>2</v>
      </c>
      <c r="D33" s="9">
        <v>1</v>
      </c>
      <c r="E33" s="28" t="s">
        <v>1090</v>
      </c>
      <c r="F33" s="26">
        <v>2</v>
      </c>
    </row>
    <row r="34" spans="1:8" ht="408.6" hidden="1" customHeight="1">
      <c r="A34" s="32" t="s">
        <v>1026</v>
      </c>
      <c r="B34" s="32" t="s">
        <v>824</v>
      </c>
      <c r="C34" s="9">
        <v>2</v>
      </c>
      <c r="D34" s="9">
        <v>1</v>
      </c>
      <c r="E34" s="28" t="s">
        <v>1060</v>
      </c>
      <c r="F34" s="26">
        <v>2</v>
      </c>
    </row>
    <row r="35" spans="1:8" ht="145.19999999999999" hidden="1">
      <c r="A35" s="37" t="s">
        <v>1027</v>
      </c>
      <c r="B35" s="32" t="s">
        <v>1088</v>
      </c>
      <c r="C35" s="9">
        <v>2</v>
      </c>
      <c r="D35" s="9">
        <v>0</v>
      </c>
      <c r="E35" s="31" t="s">
        <v>1089</v>
      </c>
      <c r="F35" s="26">
        <v>1</v>
      </c>
    </row>
    <row r="36" spans="1:8" ht="118.8" hidden="1">
      <c r="A36" s="37" t="s">
        <v>1028</v>
      </c>
      <c r="B36" s="32" t="s">
        <v>1040</v>
      </c>
      <c r="C36" s="9">
        <v>2</v>
      </c>
      <c r="D36" s="9">
        <v>0</v>
      </c>
      <c r="E36" s="31" t="s">
        <v>1086</v>
      </c>
      <c r="F36" s="26">
        <v>1</v>
      </c>
    </row>
    <row r="37" spans="1:8" ht="92.4" hidden="1">
      <c r="A37" s="42" t="s">
        <v>1029</v>
      </c>
      <c r="B37" s="32" t="s">
        <v>1041</v>
      </c>
      <c r="C37" s="9">
        <v>2</v>
      </c>
      <c r="D37" s="9">
        <v>0</v>
      </c>
      <c r="E37" s="31" t="s">
        <v>1087</v>
      </c>
      <c r="F37" s="26">
        <v>1</v>
      </c>
    </row>
    <row r="38" spans="1:8" ht="331.8" hidden="1" customHeight="1">
      <c r="A38" s="32" t="s">
        <v>1030</v>
      </c>
      <c r="B38" s="32" t="s">
        <v>874</v>
      </c>
      <c r="C38" s="9">
        <v>2</v>
      </c>
      <c r="D38" s="9">
        <v>1</v>
      </c>
      <c r="E38" s="28" t="s">
        <v>1061</v>
      </c>
      <c r="F38" s="26">
        <v>2</v>
      </c>
    </row>
    <row r="39" spans="1:8" ht="264" hidden="1">
      <c r="A39" s="32" t="s">
        <v>1031</v>
      </c>
      <c r="B39" s="32" t="s">
        <v>737</v>
      </c>
      <c r="C39" s="9">
        <v>2</v>
      </c>
      <c r="D39" s="9">
        <v>1</v>
      </c>
      <c r="E39" s="28" t="s">
        <v>1062</v>
      </c>
      <c r="F39" s="26">
        <v>2</v>
      </c>
    </row>
    <row r="40" spans="1:8">
      <c r="F40" s="26"/>
    </row>
    <row r="41" spans="1:8">
      <c r="B41" s="4"/>
      <c r="F41" s="26"/>
    </row>
    <row r="42" spans="1:8" ht="15">
      <c r="F42" s="47"/>
      <c r="G42" s="50" t="s">
        <v>886</v>
      </c>
      <c r="H42" s="50" t="s">
        <v>887</v>
      </c>
    </row>
    <row r="43" spans="1:8" ht="15">
      <c r="F43" s="47"/>
      <c r="G43" s="68">
        <f>(COUNTIF($F$2:$F$40, 1)/38)*100</f>
        <v>47.368421052631575</v>
      </c>
      <c r="H43" s="68">
        <f>(COUNTIF($F$2:$F$40, 0)/38)*100</f>
        <v>2.6315789473684208</v>
      </c>
    </row>
    <row r="44" spans="1:8" ht="15">
      <c r="F44" s="48" t="s">
        <v>888</v>
      </c>
      <c r="G44" s="69"/>
      <c r="H44" s="68"/>
    </row>
    <row r="45" spans="1:8" ht="15">
      <c r="F45" s="48"/>
      <c r="G45" s="69"/>
      <c r="H45" s="68"/>
    </row>
    <row r="46" spans="1:8" ht="15">
      <c r="F46" s="48"/>
      <c r="G46" s="70">
        <f>(COUNTIF($F$2:$F$40, 2)/38)*100</f>
        <v>44.736842105263158</v>
      </c>
      <c r="H46" s="68">
        <f>(COUNTIF($F$2:$F$40, 3)/38)*100</f>
        <v>5.2631578947368416</v>
      </c>
    </row>
    <row r="47" spans="1:8" ht="15">
      <c r="F47" s="48" t="s">
        <v>889</v>
      </c>
      <c r="G47" s="69"/>
      <c r="H47" s="68"/>
    </row>
    <row r="48" spans="1:8" ht="15">
      <c r="F48" s="47"/>
      <c r="G48" s="69"/>
      <c r="H48" s="68"/>
    </row>
    <row r="49" spans="6:8">
      <c r="F49" s="26"/>
    </row>
    <row r="50" spans="6:8">
      <c r="F50" s="26"/>
    </row>
    <row r="51" spans="6:8" ht="15">
      <c r="F51" s="47"/>
      <c r="G51" s="50" t="s">
        <v>886</v>
      </c>
      <c r="H51" s="50" t="s">
        <v>887</v>
      </c>
    </row>
    <row r="52" spans="6:8" ht="15">
      <c r="F52" s="47"/>
      <c r="G52" s="68">
        <f>(COUNTIF($F$2:$F$40, 1))</f>
        <v>18</v>
      </c>
      <c r="H52" s="68">
        <f>(COUNTIF($F$2:$F$40,0))</f>
        <v>1</v>
      </c>
    </row>
    <row r="53" spans="6:8" ht="15">
      <c r="F53" s="48" t="s">
        <v>888</v>
      </c>
      <c r="G53" s="69"/>
      <c r="H53" s="68"/>
    </row>
    <row r="54" spans="6:8" ht="15">
      <c r="F54" s="48"/>
      <c r="G54" s="69"/>
      <c r="H54" s="68"/>
    </row>
    <row r="55" spans="6:8" ht="15">
      <c r="F55" s="48"/>
      <c r="G55" s="70">
        <f>(COUNTIF($F$2:$F$40, 2))</f>
        <v>17</v>
      </c>
      <c r="H55" s="68">
        <f>(COUNTIF($F$2:$F$40,3))</f>
        <v>2</v>
      </c>
    </row>
    <row r="56" spans="6:8" ht="15">
      <c r="F56" s="48" t="s">
        <v>889</v>
      </c>
      <c r="G56" s="69"/>
      <c r="H56" s="68"/>
    </row>
    <row r="57" spans="6:8" ht="15">
      <c r="F57" s="47"/>
      <c r="G57" s="69"/>
      <c r="H57" s="68"/>
    </row>
    <row r="58" spans="6:8">
      <c r="F58" s="26"/>
    </row>
    <row r="59" spans="6:8">
      <c r="F59" s="26"/>
    </row>
    <row r="60" spans="6:8">
      <c r="F60" s="26"/>
    </row>
    <row r="61" spans="6:8">
      <c r="F61" s="26"/>
    </row>
    <row r="62" spans="6:8">
      <c r="F62" s="26"/>
    </row>
    <row r="63" spans="6:8">
      <c r="F63" s="26"/>
    </row>
    <row r="64" spans="6:8">
      <c r="F64" s="26"/>
    </row>
    <row r="65" spans="6:6">
      <c r="F65" s="26"/>
    </row>
    <row r="66" spans="6:6">
      <c r="F66" s="26"/>
    </row>
    <row r="67" spans="6:6">
      <c r="F67" s="26"/>
    </row>
    <row r="68" spans="6:6">
      <c r="F68" s="26"/>
    </row>
    <row r="69" spans="6:6">
      <c r="F69" s="26"/>
    </row>
    <row r="70" spans="6:6">
      <c r="F70" s="26"/>
    </row>
    <row r="71" spans="6:6">
      <c r="F71" s="26"/>
    </row>
    <row r="72" spans="6:6">
      <c r="F72" s="26"/>
    </row>
    <row r="73" spans="6:6">
      <c r="F73" s="26"/>
    </row>
    <row r="74" spans="6:6">
      <c r="F74" s="26"/>
    </row>
    <row r="75" spans="6:6">
      <c r="F75" s="26"/>
    </row>
    <row r="76" spans="6:6">
      <c r="F76" s="26"/>
    </row>
    <row r="77" spans="6:6">
      <c r="F77" s="26"/>
    </row>
    <row r="78" spans="6:6">
      <c r="F78" s="26"/>
    </row>
    <row r="79" spans="6:6">
      <c r="F79" s="26"/>
    </row>
    <row r="80" spans="6:6">
      <c r="F80" s="26"/>
    </row>
    <row r="81" spans="6:6">
      <c r="F81" s="26"/>
    </row>
    <row r="82" spans="6:6">
      <c r="F82" s="26"/>
    </row>
  </sheetData>
  <sortState xmlns:xlrd2="http://schemas.microsoft.com/office/spreadsheetml/2017/richdata2" ref="D2:E39">
    <sortCondition ref="E2:E39"/>
    <sortCondition ref="D2:D39"/>
  </sortState>
  <mergeCells count="8">
    <mergeCell ref="G55:G57"/>
    <mergeCell ref="H55:H57"/>
    <mergeCell ref="G43:G45"/>
    <mergeCell ref="H43:H45"/>
    <mergeCell ref="G46:G48"/>
    <mergeCell ref="H46:H48"/>
    <mergeCell ref="G52:G54"/>
    <mergeCell ref="H52:H54"/>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7D254-4040-447C-9BDC-ACA9A25025B9}">
  <dimension ref="A1:H55"/>
  <sheetViews>
    <sheetView zoomScale="55" zoomScaleNormal="55" workbookViewId="0">
      <selection activeCell="B102" sqref="B102"/>
    </sheetView>
  </sheetViews>
  <sheetFormatPr defaultRowHeight="13.2"/>
  <cols>
    <col min="1" max="1" width="42.33203125" customWidth="1"/>
    <col min="2" max="2" width="52.77734375" customWidth="1"/>
    <col min="4" max="4" width="9.33203125" customWidth="1"/>
    <col min="5" max="5" width="59.6640625" style="25" customWidth="1"/>
    <col min="6" max="6" width="19.44140625" style="26" customWidth="1"/>
    <col min="7" max="8" width="21" bestFit="1" customWidth="1"/>
  </cols>
  <sheetData>
    <row r="1" spans="1:6">
      <c r="A1" s="39" t="s">
        <v>0</v>
      </c>
      <c r="B1" s="39" t="s">
        <v>1</v>
      </c>
      <c r="C1" s="39" t="s">
        <v>896</v>
      </c>
      <c r="D1" s="39" t="s">
        <v>894</v>
      </c>
      <c r="E1" s="64" t="s">
        <v>913</v>
      </c>
      <c r="F1" s="63" t="s">
        <v>707</v>
      </c>
    </row>
    <row r="2" spans="1:6" ht="105.6">
      <c r="A2" s="42" t="s">
        <v>1091</v>
      </c>
      <c r="B2" s="32" t="s">
        <v>1224</v>
      </c>
      <c r="C2" s="9">
        <v>3</v>
      </c>
      <c r="D2" s="9">
        <v>1</v>
      </c>
      <c r="E2" s="62" t="s">
        <v>1225</v>
      </c>
      <c r="F2" s="26">
        <v>2</v>
      </c>
    </row>
    <row r="3" spans="1:6" ht="303.60000000000002" hidden="1">
      <c r="A3" s="37" t="s">
        <v>1212</v>
      </c>
      <c r="B3" s="32" t="s">
        <v>1213</v>
      </c>
      <c r="C3" s="9">
        <v>3</v>
      </c>
      <c r="D3" s="9">
        <v>0</v>
      </c>
      <c r="E3" s="61" t="s">
        <v>1214</v>
      </c>
      <c r="F3" s="26">
        <v>1</v>
      </c>
    </row>
    <row r="4" spans="1:6" ht="184.8">
      <c r="A4" s="42" t="s">
        <v>1092</v>
      </c>
      <c r="B4" s="36" t="s">
        <v>1220</v>
      </c>
      <c r="C4" s="9">
        <v>3</v>
      </c>
      <c r="D4" s="9">
        <v>1</v>
      </c>
      <c r="E4" s="62" t="s">
        <v>1226</v>
      </c>
      <c r="F4" s="26">
        <v>2</v>
      </c>
    </row>
    <row r="5" spans="1:6" ht="145.19999999999999">
      <c r="A5" s="37" t="s">
        <v>1093</v>
      </c>
      <c r="B5" s="32" t="s">
        <v>1227</v>
      </c>
      <c r="C5" s="9">
        <v>3</v>
      </c>
      <c r="D5" s="9">
        <v>1</v>
      </c>
      <c r="E5" s="62" t="s">
        <v>1228</v>
      </c>
      <c r="F5" s="26">
        <v>3</v>
      </c>
    </row>
    <row r="6" spans="1:6" ht="224.4" hidden="1">
      <c r="A6" s="37" t="s">
        <v>1094</v>
      </c>
      <c r="B6" s="32" t="s">
        <v>787</v>
      </c>
      <c r="C6" s="9">
        <v>3</v>
      </c>
      <c r="D6" s="9">
        <v>0</v>
      </c>
      <c r="E6" s="52" t="s">
        <v>1201</v>
      </c>
      <c r="F6" s="26">
        <v>1</v>
      </c>
    </row>
    <row r="7" spans="1:6" ht="198" hidden="1">
      <c r="A7" s="42" t="s">
        <v>1095</v>
      </c>
      <c r="B7" s="32" t="s">
        <v>74</v>
      </c>
      <c r="C7" s="9">
        <v>3</v>
      </c>
      <c r="D7" s="9">
        <v>0</v>
      </c>
      <c r="E7" s="28" t="s">
        <v>1202</v>
      </c>
      <c r="F7" s="26">
        <v>1</v>
      </c>
    </row>
    <row r="8" spans="1:6" ht="132" hidden="1">
      <c r="A8" s="37" t="s">
        <v>1096</v>
      </c>
      <c r="B8" s="32" t="s">
        <v>1221</v>
      </c>
      <c r="C8" s="9">
        <v>3</v>
      </c>
      <c r="D8" s="9">
        <v>0</v>
      </c>
      <c r="E8" s="62" t="s">
        <v>1229</v>
      </c>
      <c r="F8" s="26">
        <v>1</v>
      </c>
    </row>
    <row r="9" spans="1:6" ht="171.6" hidden="1">
      <c r="A9" s="37" t="s">
        <v>1097</v>
      </c>
      <c r="B9" s="6" t="s">
        <v>323</v>
      </c>
      <c r="C9" s="9">
        <v>3</v>
      </c>
      <c r="D9" s="9">
        <v>0</v>
      </c>
      <c r="E9" s="62" t="s">
        <v>1230</v>
      </c>
      <c r="F9" s="26">
        <v>1</v>
      </c>
    </row>
    <row r="10" spans="1:6" ht="184.8">
      <c r="A10" s="37" t="s">
        <v>1098</v>
      </c>
      <c r="B10" s="32" t="s">
        <v>1222</v>
      </c>
      <c r="C10" s="9">
        <v>3</v>
      </c>
      <c r="D10" s="9">
        <v>1</v>
      </c>
      <c r="E10" s="62" t="s">
        <v>1239</v>
      </c>
      <c r="F10" s="26">
        <v>3</v>
      </c>
    </row>
    <row r="11" spans="1:6" ht="171.6" hidden="1">
      <c r="A11" s="37" t="s">
        <v>1099</v>
      </c>
      <c r="B11" s="32" t="s">
        <v>568</v>
      </c>
      <c r="C11" s="9">
        <v>3</v>
      </c>
      <c r="D11" s="9">
        <v>0</v>
      </c>
      <c r="E11" s="28" t="s">
        <v>1203</v>
      </c>
      <c r="F11" s="26">
        <v>1</v>
      </c>
    </row>
    <row r="12" spans="1:6" ht="237.6" hidden="1">
      <c r="A12" s="37" t="s">
        <v>1100</v>
      </c>
      <c r="B12" s="32" t="s">
        <v>1215</v>
      </c>
      <c r="C12" s="9">
        <v>3</v>
      </c>
      <c r="D12" s="9">
        <v>0</v>
      </c>
      <c r="E12" s="31" t="s">
        <v>1216</v>
      </c>
      <c r="F12" s="26">
        <v>1</v>
      </c>
    </row>
    <row r="13" spans="1:6" ht="250.8" hidden="1">
      <c r="A13" s="42" t="s">
        <v>1101</v>
      </c>
      <c r="B13" s="32" t="s">
        <v>768</v>
      </c>
      <c r="C13" s="9">
        <v>3</v>
      </c>
      <c r="D13" s="9">
        <v>0</v>
      </c>
      <c r="E13" s="31" t="s">
        <v>1204</v>
      </c>
      <c r="F13" s="26">
        <v>1</v>
      </c>
    </row>
    <row r="14" spans="1:6" ht="92.4" hidden="1">
      <c r="A14" s="37" t="s">
        <v>1102</v>
      </c>
      <c r="B14" s="32" t="s">
        <v>777</v>
      </c>
      <c r="C14" s="9">
        <v>3</v>
      </c>
      <c r="D14" s="9">
        <v>0</v>
      </c>
      <c r="E14" s="31" t="s">
        <v>1205</v>
      </c>
      <c r="F14" s="26">
        <v>1</v>
      </c>
    </row>
    <row r="15" spans="1:6" ht="211.2" hidden="1">
      <c r="A15" s="42" t="s">
        <v>1103</v>
      </c>
      <c r="B15" s="32" t="s">
        <v>856</v>
      </c>
      <c r="C15" s="9">
        <v>3</v>
      </c>
      <c r="D15" s="9">
        <v>0</v>
      </c>
      <c r="E15" s="31" t="s">
        <v>1207</v>
      </c>
      <c r="F15" s="26">
        <v>1</v>
      </c>
    </row>
    <row r="16" spans="1:6" ht="171.6" hidden="1">
      <c r="A16" s="42" t="s">
        <v>1104</v>
      </c>
      <c r="B16" s="32" t="s">
        <v>851</v>
      </c>
      <c r="C16" s="9">
        <v>3</v>
      </c>
      <c r="D16" s="9">
        <v>0</v>
      </c>
      <c r="E16" s="31" t="s">
        <v>1208</v>
      </c>
      <c r="F16" s="26">
        <v>1</v>
      </c>
    </row>
    <row r="17" spans="1:6" ht="145.19999999999999">
      <c r="A17" s="37" t="s">
        <v>1105</v>
      </c>
      <c r="B17" s="32" t="s">
        <v>1223</v>
      </c>
      <c r="C17" s="9">
        <v>3</v>
      </c>
      <c r="D17" s="9">
        <v>1</v>
      </c>
      <c r="E17" s="62" t="s">
        <v>1240</v>
      </c>
      <c r="F17" s="26">
        <v>2</v>
      </c>
    </row>
    <row r="18" spans="1:6" ht="303.60000000000002" hidden="1">
      <c r="A18" s="42" t="s">
        <v>1106</v>
      </c>
      <c r="B18" s="32" t="s">
        <v>838</v>
      </c>
      <c r="C18" s="9">
        <v>3</v>
      </c>
      <c r="D18" s="9">
        <v>0</v>
      </c>
      <c r="E18" s="31" t="s">
        <v>1209</v>
      </c>
      <c r="F18" s="26">
        <v>1</v>
      </c>
    </row>
    <row r="19" spans="1:6" ht="224.4">
      <c r="A19" s="37" t="s">
        <v>1107</v>
      </c>
      <c r="B19" s="6" t="s">
        <v>720</v>
      </c>
      <c r="C19" s="9">
        <v>3</v>
      </c>
      <c r="D19" s="9">
        <v>1</v>
      </c>
      <c r="E19" s="62" t="s">
        <v>1241</v>
      </c>
      <c r="F19" s="26">
        <v>3</v>
      </c>
    </row>
    <row r="20" spans="1:6" ht="171.6" hidden="1">
      <c r="A20" s="37" t="s">
        <v>1108</v>
      </c>
      <c r="B20" s="6" t="s">
        <v>802</v>
      </c>
      <c r="C20" s="9">
        <v>3</v>
      </c>
      <c r="D20" s="9">
        <v>0</v>
      </c>
      <c r="E20" s="62" t="s">
        <v>1242</v>
      </c>
      <c r="F20" s="26">
        <v>1</v>
      </c>
    </row>
    <row r="21" spans="1:6" ht="92.4">
      <c r="A21" s="42" t="s">
        <v>1109</v>
      </c>
      <c r="B21" s="6" t="s">
        <v>820</v>
      </c>
      <c r="C21" s="9">
        <v>3</v>
      </c>
      <c r="D21" s="9">
        <v>1</v>
      </c>
      <c r="E21" s="62" t="s">
        <v>1243</v>
      </c>
      <c r="F21" s="26">
        <v>2</v>
      </c>
    </row>
    <row r="22" spans="1:6" ht="264">
      <c r="A22" s="37" t="s">
        <v>1110</v>
      </c>
      <c r="B22" s="6" t="s">
        <v>864</v>
      </c>
      <c r="C22" s="9">
        <v>3</v>
      </c>
      <c r="D22" s="9">
        <v>1</v>
      </c>
      <c r="E22" s="62" t="s">
        <v>1244</v>
      </c>
      <c r="F22" s="26">
        <v>2</v>
      </c>
    </row>
    <row r="23" spans="1:6" ht="343.2">
      <c r="A23" s="42" t="s">
        <v>1111</v>
      </c>
      <c r="B23" s="6" t="s">
        <v>830</v>
      </c>
      <c r="C23" s="9">
        <v>3</v>
      </c>
      <c r="D23" s="9">
        <v>1</v>
      </c>
      <c r="E23" s="62" t="s">
        <v>1245</v>
      </c>
      <c r="F23" s="26">
        <v>2</v>
      </c>
    </row>
    <row r="24" spans="1:6" ht="409.6" hidden="1">
      <c r="A24" s="37" t="s">
        <v>1112</v>
      </c>
      <c r="B24" s="6" t="s">
        <v>758</v>
      </c>
      <c r="C24" s="9">
        <v>3</v>
      </c>
      <c r="D24" s="9">
        <v>0</v>
      </c>
      <c r="E24" s="62" t="s">
        <v>1246</v>
      </c>
      <c r="F24" s="26">
        <v>1</v>
      </c>
    </row>
    <row r="25" spans="1:6" ht="264" hidden="1">
      <c r="A25" s="37" t="s">
        <v>1113</v>
      </c>
      <c r="B25" s="32" t="s">
        <v>753</v>
      </c>
      <c r="C25" s="9">
        <v>3</v>
      </c>
      <c r="D25" s="9">
        <v>0</v>
      </c>
      <c r="E25" s="31" t="s">
        <v>1210</v>
      </c>
      <c r="F25" s="26">
        <v>1</v>
      </c>
    </row>
    <row r="26" spans="1:6" ht="250.8">
      <c r="A26" s="37" t="s">
        <v>1114</v>
      </c>
      <c r="B26" s="6" t="s">
        <v>355</v>
      </c>
      <c r="C26" s="9">
        <v>3</v>
      </c>
      <c r="D26" s="9">
        <v>1</v>
      </c>
      <c r="E26" s="62" t="s">
        <v>1247</v>
      </c>
      <c r="F26" s="26">
        <v>2</v>
      </c>
    </row>
    <row r="27" spans="1:6" ht="224.4">
      <c r="A27" s="37" t="s">
        <v>1115</v>
      </c>
      <c r="B27" s="32" t="s">
        <v>870</v>
      </c>
      <c r="C27" s="9">
        <v>3</v>
      </c>
      <c r="D27" s="9">
        <v>1</v>
      </c>
      <c r="E27" s="31" t="s">
        <v>1248</v>
      </c>
      <c r="F27" s="26">
        <v>2</v>
      </c>
    </row>
    <row r="28" spans="1:6" ht="198">
      <c r="A28" s="37" t="s">
        <v>1116</v>
      </c>
      <c r="B28" s="32" t="s">
        <v>807</v>
      </c>
      <c r="C28" s="9">
        <v>3</v>
      </c>
      <c r="D28" s="9">
        <v>1</v>
      </c>
      <c r="E28" s="31" t="s">
        <v>1249</v>
      </c>
      <c r="F28" s="26">
        <v>2</v>
      </c>
    </row>
    <row r="29" spans="1:6" ht="158.4">
      <c r="A29" s="37" t="s">
        <v>1117</v>
      </c>
      <c r="B29" s="32" t="s">
        <v>875</v>
      </c>
      <c r="C29" s="9">
        <v>3</v>
      </c>
      <c r="D29" s="9">
        <v>1</v>
      </c>
      <c r="E29" s="62" t="s">
        <v>1217</v>
      </c>
      <c r="F29" s="26">
        <v>2</v>
      </c>
    </row>
    <row r="30" spans="1:6" ht="237.6" hidden="1">
      <c r="A30" s="37" t="s">
        <v>1118</v>
      </c>
      <c r="B30" s="6" t="s">
        <v>748</v>
      </c>
      <c r="C30" s="9">
        <v>3</v>
      </c>
      <c r="D30" s="9">
        <v>0</v>
      </c>
      <c r="E30" s="62" t="s">
        <v>1231</v>
      </c>
      <c r="F30" s="26">
        <v>1</v>
      </c>
    </row>
    <row r="31" spans="1:6" ht="237.6">
      <c r="A31" s="37" t="s">
        <v>1119</v>
      </c>
      <c r="B31" s="6" t="s">
        <v>825</v>
      </c>
      <c r="C31" s="9">
        <v>3</v>
      </c>
      <c r="D31" s="9">
        <v>1</v>
      </c>
      <c r="E31" s="62" t="s">
        <v>1232</v>
      </c>
      <c r="F31" s="26">
        <v>2</v>
      </c>
    </row>
    <row r="32" spans="1:6" ht="290.39999999999998">
      <c r="A32" s="37" t="s">
        <v>1120</v>
      </c>
      <c r="B32" s="6" t="s">
        <v>835</v>
      </c>
      <c r="C32" s="9">
        <v>3</v>
      </c>
      <c r="D32" s="9">
        <v>1</v>
      </c>
      <c r="E32" s="62" t="s">
        <v>1233</v>
      </c>
      <c r="F32" s="26">
        <v>2</v>
      </c>
    </row>
    <row r="33" spans="1:8" ht="145.19999999999999">
      <c r="A33" s="37" t="s">
        <v>1235</v>
      </c>
      <c r="B33" s="6" t="s">
        <v>743</v>
      </c>
      <c r="C33" s="9">
        <v>3</v>
      </c>
      <c r="D33" s="9">
        <v>1</v>
      </c>
      <c r="E33" s="62" t="s">
        <v>1234</v>
      </c>
      <c r="F33" s="26">
        <v>2</v>
      </c>
    </row>
    <row r="34" spans="1:8" ht="237.6" hidden="1">
      <c r="A34" s="37" t="s">
        <v>1121</v>
      </c>
      <c r="B34" s="32" t="s">
        <v>738</v>
      </c>
      <c r="C34" s="9">
        <v>3</v>
      </c>
      <c r="D34" s="9">
        <v>0</v>
      </c>
      <c r="E34" s="31" t="s">
        <v>1211</v>
      </c>
      <c r="F34" s="26">
        <v>1</v>
      </c>
    </row>
    <row r="35" spans="1:8" ht="198">
      <c r="A35" s="37" t="s">
        <v>1125</v>
      </c>
      <c r="B35" s="6" t="s">
        <v>859</v>
      </c>
      <c r="C35" s="9">
        <v>3</v>
      </c>
      <c r="D35" s="9">
        <v>1</v>
      </c>
      <c r="E35" s="62" t="s">
        <v>1236</v>
      </c>
      <c r="F35" s="26">
        <v>2</v>
      </c>
    </row>
    <row r="36" spans="1:8" ht="228.6" customHeight="1">
      <c r="A36" s="37" t="s">
        <v>1124</v>
      </c>
      <c r="B36" s="6" t="s">
        <v>880</v>
      </c>
      <c r="C36" s="9">
        <v>3</v>
      </c>
      <c r="D36" s="9">
        <v>1</v>
      </c>
      <c r="E36" s="62" t="s">
        <v>1237</v>
      </c>
      <c r="F36" s="26">
        <v>2</v>
      </c>
    </row>
    <row r="37" spans="1:8" ht="171.6" hidden="1">
      <c r="A37" s="37" t="s">
        <v>1123</v>
      </c>
      <c r="B37" s="6" t="s">
        <v>812</v>
      </c>
      <c r="C37" s="9">
        <v>3</v>
      </c>
      <c r="D37" s="9">
        <v>0</v>
      </c>
      <c r="E37" s="62" t="s">
        <v>1238</v>
      </c>
      <c r="F37" s="26">
        <v>1</v>
      </c>
    </row>
    <row r="38" spans="1:8" ht="184.8">
      <c r="A38" s="37" t="s">
        <v>1122</v>
      </c>
      <c r="B38" s="32" t="s">
        <v>1218</v>
      </c>
      <c r="C38" s="9">
        <v>3</v>
      </c>
      <c r="D38" s="9">
        <v>1</v>
      </c>
      <c r="E38" s="62" t="s">
        <v>1219</v>
      </c>
      <c r="F38" s="26">
        <v>2</v>
      </c>
    </row>
    <row r="40" spans="1:8" ht="15">
      <c r="F40" s="47"/>
      <c r="G40" s="50" t="s">
        <v>886</v>
      </c>
      <c r="H40" s="50" t="s">
        <v>887</v>
      </c>
    </row>
    <row r="41" spans="1:8" ht="15">
      <c r="F41" s="47"/>
      <c r="G41" s="68">
        <f>(COUNTIF($F$2:$F$40, 1)/37)*100</f>
        <v>48.648648648648653</v>
      </c>
      <c r="H41" s="68">
        <f>(COUNTIF($F$2:$F$40, 0)/37)*100</f>
        <v>0</v>
      </c>
    </row>
    <row r="42" spans="1:8" ht="15">
      <c r="F42" s="48" t="s">
        <v>888</v>
      </c>
      <c r="G42" s="69"/>
      <c r="H42" s="68"/>
    </row>
    <row r="43" spans="1:8" ht="15">
      <c r="F43" s="48"/>
      <c r="G43" s="69"/>
      <c r="H43" s="68"/>
    </row>
    <row r="44" spans="1:8" ht="15">
      <c r="F44" s="48"/>
      <c r="G44" s="70">
        <f>(COUNTIF($F$2:$F$40, 2)/37)*100</f>
        <v>43.243243243243242</v>
      </c>
      <c r="H44" s="68">
        <f>(COUNTIF($F$2:$F$40, 3)/37)*100</f>
        <v>8.1081081081081088</v>
      </c>
    </row>
    <row r="45" spans="1:8" ht="15">
      <c r="F45" s="48" t="s">
        <v>889</v>
      </c>
      <c r="G45" s="69"/>
      <c r="H45" s="68"/>
    </row>
    <row r="46" spans="1:8" ht="15">
      <c r="F46" s="47"/>
      <c r="G46" s="69"/>
      <c r="H46" s="68"/>
    </row>
    <row r="49" spans="6:8" ht="15">
      <c r="F49" s="47"/>
      <c r="G49" s="50" t="s">
        <v>886</v>
      </c>
      <c r="H49" s="50" t="s">
        <v>887</v>
      </c>
    </row>
    <row r="50" spans="6:8" ht="15">
      <c r="F50" s="47"/>
      <c r="G50" s="68">
        <f>(COUNTIF($F$2:$F$40,1))</f>
        <v>18</v>
      </c>
      <c r="H50" s="68">
        <f>(COUNTIF($F$2:$F$40,0))</f>
        <v>0</v>
      </c>
    </row>
    <row r="51" spans="6:8" ht="15">
      <c r="F51" s="48" t="s">
        <v>888</v>
      </c>
      <c r="G51" s="69"/>
      <c r="H51" s="68"/>
    </row>
    <row r="52" spans="6:8" ht="15">
      <c r="F52" s="48"/>
      <c r="G52" s="69"/>
      <c r="H52" s="68"/>
    </row>
    <row r="53" spans="6:8" ht="15">
      <c r="F53" s="48"/>
      <c r="G53" s="70">
        <f>(COUNTIF($F$2:$F$40, 2))</f>
        <v>16</v>
      </c>
      <c r="H53" s="68">
        <f>(COUNTIF($F$2:$F$40, 3))</f>
        <v>3</v>
      </c>
    </row>
    <row r="54" spans="6:8" ht="15">
      <c r="F54" s="48" t="s">
        <v>889</v>
      </c>
      <c r="G54" s="69"/>
      <c r="H54" s="68"/>
    </row>
    <row r="55" spans="6:8" ht="15">
      <c r="F55" s="47"/>
      <c r="G55" s="69"/>
      <c r="H55" s="68"/>
    </row>
  </sheetData>
  <sortState xmlns:xlrd2="http://schemas.microsoft.com/office/spreadsheetml/2017/richdata2" ref="D2:D38">
    <sortCondition ref="D2:D38"/>
  </sortState>
  <mergeCells count="8">
    <mergeCell ref="G53:G55"/>
    <mergeCell ref="H53:H55"/>
    <mergeCell ref="G41:G43"/>
    <mergeCell ref="H41:H43"/>
    <mergeCell ref="G44:G46"/>
    <mergeCell ref="H44:H46"/>
    <mergeCell ref="G50:G52"/>
    <mergeCell ref="H50:H5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8116-BB28-4CC6-93E4-6F2BF3B2464F}">
  <dimension ref="A1:G37"/>
  <sheetViews>
    <sheetView workbookViewId="0">
      <selection activeCell="E2" sqref="E2:E37"/>
    </sheetView>
  </sheetViews>
  <sheetFormatPr defaultRowHeight="13.2"/>
  <cols>
    <col min="1" max="1" width="12.77734375" bestFit="1" customWidth="1"/>
    <col min="2" max="2" width="68.109375" bestFit="1" customWidth="1"/>
    <col min="3" max="3" width="49.6640625" bestFit="1" customWidth="1"/>
    <col min="4" max="4" width="6" bestFit="1" customWidth="1"/>
    <col min="5" max="5" width="9.77734375" bestFit="1" customWidth="1"/>
    <col min="6" max="6" width="80.88671875" bestFit="1" customWidth="1"/>
    <col min="7" max="7" width="17.5546875" bestFit="1" customWidth="1"/>
  </cols>
  <sheetData>
    <row r="1" spans="1:7">
      <c r="A1" t="s">
        <v>1343</v>
      </c>
      <c r="B1" t="s">
        <v>1344</v>
      </c>
      <c r="C1" t="s">
        <v>1</v>
      </c>
      <c r="D1" t="s">
        <v>896</v>
      </c>
      <c r="E1" t="s">
        <v>894</v>
      </c>
      <c r="F1" t="s">
        <v>913</v>
      </c>
      <c r="G1" t="s">
        <v>707</v>
      </c>
    </row>
    <row r="2" spans="1:7">
      <c r="A2">
        <v>3</v>
      </c>
      <c r="B2" s="65" t="s">
        <v>1426</v>
      </c>
      <c r="C2" s="65" t="s">
        <v>852</v>
      </c>
      <c r="D2">
        <v>4</v>
      </c>
      <c r="E2">
        <v>1</v>
      </c>
      <c r="F2" s="65" t="s">
        <v>1324</v>
      </c>
      <c r="G2">
        <v>2</v>
      </c>
    </row>
    <row r="3" spans="1:7" hidden="1">
      <c r="A3">
        <v>1</v>
      </c>
      <c r="B3" s="65" t="s">
        <v>1427</v>
      </c>
      <c r="C3" s="65" t="s">
        <v>207</v>
      </c>
      <c r="D3">
        <v>4</v>
      </c>
      <c r="E3">
        <v>0</v>
      </c>
      <c r="F3" s="65" t="s">
        <v>1305</v>
      </c>
      <c r="G3">
        <v>1</v>
      </c>
    </row>
    <row r="4" spans="1:7" hidden="1">
      <c r="A4">
        <v>2</v>
      </c>
      <c r="B4" s="65" t="s">
        <v>1428</v>
      </c>
      <c r="C4" s="65" t="s">
        <v>1301</v>
      </c>
      <c r="D4">
        <v>4</v>
      </c>
      <c r="E4">
        <v>0</v>
      </c>
      <c r="F4" s="65" t="s">
        <v>1306</v>
      </c>
      <c r="G4">
        <v>1</v>
      </c>
    </row>
    <row r="5" spans="1:7" hidden="1">
      <c r="A5">
        <v>2</v>
      </c>
      <c r="B5" s="65" t="s">
        <v>1429</v>
      </c>
      <c r="C5" s="65" t="s">
        <v>1302</v>
      </c>
      <c r="D5">
        <v>4</v>
      </c>
      <c r="E5">
        <v>0</v>
      </c>
      <c r="F5" s="65" t="s">
        <v>1307</v>
      </c>
      <c r="G5">
        <v>1</v>
      </c>
    </row>
    <row r="6" spans="1:7" hidden="1">
      <c r="A6">
        <v>3</v>
      </c>
      <c r="B6" s="65" t="s">
        <v>1430</v>
      </c>
      <c r="C6" s="65" t="s">
        <v>535</v>
      </c>
      <c r="D6">
        <v>4</v>
      </c>
      <c r="E6">
        <v>0</v>
      </c>
      <c r="F6" s="65" t="s">
        <v>1308</v>
      </c>
      <c r="G6">
        <v>1</v>
      </c>
    </row>
    <row r="7" spans="1:7">
      <c r="A7">
        <v>2</v>
      </c>
      <c r="B7" s="65" t="s">
        <v>1431</v>
      </c>
      <c r="C7" s="65" t="s">
        <v>774</v>
      </c>
      <c r="D7">
        <v>4</v>
      </c>
      <c r="E7">
        <v>1</v>
      </c>
      <c r="F7" s="65" t="s">
        <v>1325</v>
      </c>
      <c r="G7">
        <v>3</v>
      </c>
    </row>
    <row r="8" spans="1:7">
      <c r="A8">
        <v>2</v>
      </c>
      <c r="B8" s="65" t="s">
        <v>1432</v>
      </c>
      <c r="C8" s="65" t="s">
        <v>783</v>
      </c>
      <c r="D8">
        <v>4</v>
      </c>
      <c r="E8">
        <v>1</v>
      </c>
      <c r="F8" s="65" t="s">
        <v>1326</v>
      </c>
      <c r="G8">
        <v>2</v>
      </c>
    </row>
    <row r="9" spans="1:7">
      <c r="A9">
        <v>3</v>
      </c>
      <c r="B9" s="65" t="s">
        <v>1433</v>
      </c>
      <c r="C9" s="65" t="s">
        <v>843</v>
      </c>
      <c r="D9">
        <v>4</v>
      </c>
      <c r="E9">
        <v>1</v>
      </c>
      <c r="F9" s="65" t="s">
        <v>1327</v>
      </c>
      <c r="G9">
        <v>2</v>
      </c>
    </row>
    <row r="10" spans="1:7" hidden="1">
      <c r="A10">
        <v>2</v>
      </c>
      <c r="B10" s="65" t="s">
        <v>1434</v>
      </c>
      <c r="C10" s="65" t="s">
        <v>778</v>
      </c>
      <c r="D10">
        <v>4</v>
      </c>
      <c r="E10">
        <v>0</v>
      </c>
      <c r="F10" s="65" t="s">
        <v>1309</v>
      </c>
      <c r="G10">
        <v>1</v>
      </c>
    </row>
    <row r="11" spans="1:7">
      <c r="A11">
        <v>3</v>
      </c>
      <c r="B11" s="65" t="s">
        <v>1435</v>
      </c>
      <c r="C11" s="65" t="s">
        <v>1328</v>
      </c>
      <c r="D11">
        <v>4</v>
      </c>
      <c r="E11">
        <v>1</v>
      </c>
      <c r="F11" s="65" t="s">
        <v>1329</v>
      </c>
      <c r="G11">
        <v>2</v>
      </c>
    </row>
    <row r="12" spans="1:7">
      <c r="A12">
        <v>1</v>
      </c>
      <c r="B12" s="65" t="s">
        <v>1436</v>
      </c>
      <c r="C12" s="65" t="s">
        <v>716</v>
      </c>
      <c r="D12">
        <v>4</v>
      </c>
      <c r="E12">
        <v>1</v>
      </c>
      <c r="F12" s="65" t="s">
        <v>1330</v>
      </c>
      <c r="G12">
        <v>2</v>
      </c>
    </row>
    <row r="13" spans="1:7" hidden="1">
      <c r="A13">
        <v>1</v>
      </c>
      <c r="B13" s="65" t="s">
        <v>1437</v>
      </c>
      <c r="C13" s="65" t="s">
        <v>85</v>
      </c>
      <c r="D13">
        <v>4</v>
      </c>
      <c r="E13">
        <v>0</v>
      </c>
      <c r="F13" s="65" t="s">
        <v>1310</v>
      </c>
      <c r="G13">
        <v>1</v>
      </c>
    </row>
    <row r="14" spans="1:7" hidden="1">
      <c r="A14">
        <v>2</v>
      </c>
      <c r="B14" s="65" t="s">
        <v>1438</v>
      </c>
      <c r="C14" s="65" t="s">
        <v>234</v>
      </c>
      <c r="D14">
        <v>4</v>
      </c>
      <c r="E14">
        <v>0</v>
      </c>
      <c r="F14" s="65" t="s">
        <v>1312</v>
      </c>
      <c r="G14">
        <v>1</v>
      </c>
    </row>
    <row r="15" spans="1:7">
      <c r="A15">
        <v>2</v>
      </c>
      <c r="B15" s="65" t="s">
        <v>1439</v>
      </c>
      <c r="C15" s="65" t="s">
        <v>764</v>
      </c>
      <c r="D15">
        <v>4</v>
      </c>
      <c r="E15">
        <v>1</v>
      </c>
      <c r="F15" s="65" t="s">
        <v>1342</v>
      </c>
      <c r="G15">
        <v>2</v>
      </c>
    </row>
    <row r="16" spans="1:7" hidden="1">
      <c r="A16">
        <v>3</v>
      </c>
      <c r="B16" s="65" t="s">
        <v>1440</v>
      </c>
      <c r="C16" s="65" t="s">
        <v>603</v>
      </c>
      <c r="D16">
        <v>4</v>
      </c>
      <c r="E16">
        <v>0</v>
      </c>
      <c r="F16" s="65" t="s">
        <v>1313</v>
      </c>
      <c r="G16">
        <v>1</v>
      </c>
    </row>
    <row r="17" spans="1:7" hidden="1">
      <c r="A17">
        <v>2</v>
      </c>
      <c r="B17" s="65" t="s">
        <v>1441</v>
      </c>
      <c r="C17" s="65" t="s">
        <v>792</v>
      </c>
      <c r="D17">
        <v>4</v>
      </c>
      <c r="E17">
        <v>0</v>
      </c>
      <c r="F17" s="65" t="s">
        <v>1314</v>
      </c>
      <c r="G17">
        <v>1</v>
      </c>
    </row>
    <row r="18" spans="1:7" hidden="1">
      <c r="A18">
        <v>1</v>
      </c>
      <c r="B18" s="65" t="s">
        <v>1442</v>
      </c>
      <c r="C18" s="65" t="s">
        <v>726</v>
      </c>
      <c r="D18">
        <v>4</v>
      </c>
      <c r="E18">
        <v>0</v>
      </c>
      <c r="F18" s="65" t="s">
        <v>1315</v>
      </c>
      <c r="G18">
        <v>1</v>
      </c>
    </row>
    <row r="19" spans="1:7">
      <c r="A19">
        <v>1</v>
      </c>
      <c r="B19" s="65" t="s">
        <v>1443</v>
      </c>
      <c r="C19" s="65" t="s">
        <v>721</v>
      </c>
      <c r="D19">
        <v>4</v>
      </c>
      <c r="E19">
        <v>1</v>
      </c>
      <c r="F19" s="65" t="s">
        <v>1331</v>
      </c>
      <c r="G19">
        <v>2</v>
      </c>
    </row>
    <row r="20" spans="1:7">
      <c r="A20">
        <v>3</v>
      </c>
      <c r="B20" s="65" t="s">
        <v>1444</v>
      </c>
      <c r="C20" s="65" t="s">
        <v>881</v>
      </c>
      <c r="D20">
        <v>4</v>
      </c>
      <c r="E20">
        <v>1</v>
      </c>
      <c r="F20" s="65" t="s">
        <v>1316</v>
      </c>
      <c r="G20">
        <v>2</v>
      </c>
    </row>
    <row r="21" spans="1:7">
      <c r="A21">
        <v>2</v>
      </c>
      <c r="B21" s="65" t="s">
        <v>1445</v>
      </c>
      <c r="C21" s="65" t="s">
        <v>799</v>
      </c>
      <c r="D21">
        <v>4</v>
      </c>
      <c r="E21">
        <v>1</v>
      </c>
      <c r="F21" s="65" t="s">
        <v>1331</v>
      </c>
      <c r="G21">
        <v>2</v>
      </c>
    </row>
    <row r="22" spans="1:7">
      <c r="A22">
        <v>3</v>
      </c>
      <c r="B22" s="65" t="s">
        <v>1446</v>
      </c>
      <c r="C22" s="65" t="s">
        <v>876</v>
      </c>
      <c r="D22">
        <v>4</v>
      </c>
      <c r="E22">
        <v>1</v>
      </c>
      <c r="F22" s="65" t="s">
        <v>1332</v>
      </c>
      <c r="G22">
        <v>2</v>
      </c>
    </row>
    <row r="23" spans="1:7" hidden="1">
      <c r="A23">
        <v>2</v>
      </c>
      <c r="B23" s="65" t="s">
        <v>1447</v>
      </c>
      <c r="C23" s="65" t="s">
        <v>1303</v>
      </c>
      <c r="D23">
        <v>4</v>
      </c>
      <c r="E23">
        <v>0</v>
      </c>
      <c r="F23" s="65" t="s">
        <v>1317</v>
      </c>
      <c r="G23">
        <v>0</v>
      </c>
    </row>
    <row r="24" spans="1:7">
      <c r="A24">
        <v>3</v>
      </c>
      <c r="B24" s="65" t="s">
        <v>1448</v>
      </c>
      <c r="C24" s="65" t="s">
        <v>871</v>
      </c>
      <c r="D24">
        <v>4</v>
      </c>
      <c r="E24">
        <v>1</v>
      </c>
      <c r="F24" s="65" t="s">
        <v>1333</v>
      </c>
      <c r="G24">
        <v>2</v>
      </c>
    </row>
    <row r="25" spans="1:7" hidden="1">
      <c r="A25">
        <v>1</v>
      </c>
      <c r="B25" s="65" t="s">
        <v>1449</v>
      </c>
      <c r="C25" s="65" t="s">
        <v>1318</v>
      </c>
      <c r="D25">
        <v>4</v>
      </c>
      <c r="E25">
        <v>0</v>
      </c>
      <c r="F25" s="65" t="s">
        <v>1319</v>
      </c>
      <c r="G25">
        <v>1</v>
      </c>
    </row>
    <row r="26" spans="1:7" hidden="1">
      <c r="A26">
        <v>3</v>
      </c>
      <c r="B26" s="65" t="s">
        <v>1450</v>
      </c>
      <c r="C26" s="65" t="s">
        <v>865</v>
      </c>
      <c r="D26">
        <v>4</v>
      </c>
      <c r="E26">
        <v>0</v>
      </c>
      <c r="F26" s="65" t="s">
        <v>1320</v>
      </c>
      <c r="G26">
        <v>1</v>
      </c>
    </row>
    <row r="27" spans="1:7" hidden="1">
      <c r="A27">
        <v>1</v>
      </c>
      <c r="B27" s="65" t="s">
        <v>1451</v>
      </c>
      <c r="C27" s="65" t="s">
        <v>759</v>
      </c>
      <c r="D27">
        <v>4</v>
      </c>
      <c r="E27">
        <v>0</v>
      </c>
      <c r="F27" s="65" t="s">
        <v>1321</v>
      </c>
      <c r="G27">
        <v>1</v>
      </c>
    </row>
    <row r="28" spans="1:7" hidden="1">
      <c r="A28">
        <v>2</v>
      </c>
      <c r="B28" s="65" t="s">
        <v>1452</v>
      </c>
      <c r="C28" s="65" t="s">
        <v>808</v>
      </c>
      <c r="D28">
        <v>4</v>
      </c>
      <c r="E28">
        <v>0</v>
      </c>
      <c r="F28" s="65" t="s">
        <v>1322</v>
      </c>
      <c r="G28">
        <v>1</v>
      </c>
    </row>
    <row r="29" spans="1:7" hidden="1">
      <c r="A29">
        <v>2</v>
      </c>
      <c r="B29" s="65" t="s">
        <v>1453</v>
      </c>
      <c r="C29" s="65" t="s">
        <v>826</v>
      </c>
      <c r="D29">
        <v>4</v>
      </c>
      <c r="E29">
        <v>0</v>
      </c>
      <c r="F29" s="65" t="s">
        <v>1323</v>
      </c>
      <c r="G29">
        <v>0</v>
      </c>
    </row>
    <row r="30" spans="1:7">
      <c r="A30">
        <v>1</v>
      </c>
      <c r="B30" s="65" t="s">
        <v>1454</v>
      </c>
      <c r="C30" s="65" t="s">
        <v>749</v>
      </c>
      <c r="D30">
        <v>4</v>
      </c>
      <c r="E30">
        <v>1</v>
      </c>
      <c r="F30" s="65" t="s">
        <v>1334</v>
      </c>
      <c r="G30">
        <v>2</v>
      </c>
    </row>
    <row r="31" spans="1:7">
      <c r="A31">
        <v>1</v>
      </c>
      <c r="B31" s="65" t="s">
        <v>1455</v>
      </c>
      <c r="C31" s="65" t="s">
        <v>744</v>
      </c>
      <c r="D31">
        <v>4</v>
      </c>
      <c r="E31">
        <v>1</v>
      </c>
      <c r="F31" s="65" t="s">
        <v>1335</v>
      </c>
      <c r="G31">
        <v>2</v>
      </c>
    </row>
    <row r="32" spans="1:7">
      <c r="A32">
        <v>2</v>
      </c>
      <c r="B32" s="65" t="s">
        <v>1456</v>
      </c>
      <c r="C32" s="65" t="s">
        <v>816</v>
      </c>
      <c r="D32">
        <v>4</v>
      </c>
      <c r="E32">
        <v>1</v>
      </c>
      <c r="F32" s="65" t="s">
        <v>1336</v>
      </c>
      <c r="G32">
        <v>2</v>
      </c>
    </row>
    <row r="33" spans="1:7">
      <c r="A33">
        <v>3</v>
      </c>
      <c r="B33" s="65" t="s">
        <v>1457</v>
      </c>
      <c r="C33" s="65" t="s">
        <v>860</v>
      </c>
      <c r="D33">
        <v>4</v>
      </c>
      <c r="E33">
        <v>1</v>
      </c>
      <c r="F33" s="65" t="s">
        <v>1337</v>
      </c>
      <c r="G33">
        <v>2</v>
      </c>
    </row>
    <row r="34" spans="1:7">
      <c r="A34">
        <v>2</v>
      </c>
      <c r="B34" s="65" t="s">
        <v>1458</v>
      </c>
      <c r="C34" s="65" t="s">
        <v>821</v>
      </c>
      <c r="D34">
        <v>4</v>
      </c>
      <c r="E34">
        <v>1</v>
      </c>
      <c r="F34" s="65" t="s">
        <v>1338</v>
      </c>
      <c r="G34">
        <v>2</v>
      </c>
    </row>
    <row r="35" spans="1:7">
      <c r="A35">
        <v>1</v>
      </c>
      <c r="B35" s="65" t="s">
        <v>1459</v>
      </c>
      <c r="C35" s="65" t="s">
        <v>1304</v>
      </c>
      <c r="D35">
        <v>4</v>
      </c>
      <c r="E35">
        <v>1</v>
      </c>
      <c r="F35" s="65" t="s">
        <v>1339</v>
      </c>
      <c r="G35">
        <v>2</v>
      </c>
    </row>
    <row r="36" spans="1:7">
      <c r="A36">
        <v>2</v>
      </c>
      <c r="B36" s="65" t="s">
        <v>1460</v>
      </c>
      <c r="C36" s="65" t="s">
        <v>831</v>
      </c>
      <c r="D36">
        <v>4</v>
      </c>
      <c r="E36">
        <v>1</v>
      </c>
      <c r="F36" s="65" t="s">
        <v>1340</v>
      </c>
      <c r="G36">
        <v>2</v>
      </c>
    </row>
    <row r="37" spans="1:7">
      <c r="A37">
        <v>2</v>
      </c>
      <c r="B37" s="65" t="s">
        <v>1461</v>
      </c>
      <c r="C37" s="65" t="s">
        <v>803</v>
      </c>
      <c r="D37">
        <v>4</v>
      </c>
      <c r="E37">
        <v>1</v>
      </c>
      <c r="F37" s="65" t="s">
        <v>1341</v>
      </c>
      <c r="G37">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62BC3-64B6-401D-9D3E-1329F0A74CCD}">
  <dimension ref="A1:H53"/>
  <sheetViews>
    <sheetView zoomScale="55" zoomScaleNormal="55" workbookViewId="0">
      <selection activeCell="G48" sqref="G48:H53"/>
    </sheetView>
  </sheetViews>
  <sheetFormatPr defaultRowHeight="13.2"/>
  <cols>
    <col min="1" max="1" width="49.88671875" customWidth="1"/>
    <col min="2" max="2" width="51" bestFit="1" customWidth="1"/>
    <col min="4" max="4" width="9.33203125" customWidth="1"/>
    <col min="5" max="5" width="41.44140625" style="25" customWidth="1"/>
    <col min="6" max="6" width="17.88671875" style="26" customWidth="1"/>
    <col min="7" max="8" width="21" bestFit="1" customWidth="1"/>
  </cols>
  <sheetData>
    <row r="1" spans="1:6">
      <c r="A1" s="39" t="s">
        <v>0</v>
      </c>
      <c r="B1" s="39" t="s">
        <v>1</v>
      </c>
      <c r="C1" s="39" t="s">
        <v>896</v>
      </c>
      <c r="D1" s="39" t="s">
        <v>894</v>
      </c>
      <c r="E1" s="64" t="s">
        <v>913</v>
      </c>
      <c r="F1" s="63" t="s">
        <v>707</v>
      </c>
    </row>
    <row r="2" spans="1:6" ht="303.60000000000002" hidden="1">
      <c r="A2" s="42" t="s">
        <v>1161</v>
      </c>
      <c r="B2" s="32" t="s">
        <v>852</v>
      </c>
      <c r="C2" s="9">
        <v>4</v>
      </c>
      <c r="D2" s="9">
        <v>1</v>
      </c>
      <c r="E2" s="52" t="s">
        <v>1324</v>
      </c>
      <c r="F2" s="26">
        <v>2</v>
      </c>
    </row>
    <row r="3" spans="1:6" ht="316.8">
      <c r="A3" s="37" t="s">
        <v>1160</v>
      </c>
      <c r="B3" s="32" t="s">
        <v>207</v>
      </c>
      <c r="C3" s="9">
        <v>4</v>
      </c>
      <c r="D3" s="9">
        <v>0</v>
      </c>
      <c r="E3" s="31" t="s">
        <v>1305</v>
      </c>
      <c r="F3" s="26">
        <v>1</v>
      </c>
    </row>
    <row r="4" spans="1:6" ht="382.8">
      <c r="A4" s="37" t="s">
        <v>1159</v>
      </c>
      <c r="B4" s="32" t="s">
        <v>1301</v>
      </c>
      <c r="C4" s="9">
        <v>4</v>
      </c>
      <c r="D4" s="9">
        <v>0</v>
      </c>
      <c r="E4" s="31" t="s">
        <v>1306</v>
      </c>
      <c r="F4" s="26">
        <v>1</v>
      </c>
    </row>
    <row r="5" spans="1:6" ht="303.60000000000002">
      <c r="A5" s="37" t="s">
        <v>1158</v>
      </c>
      <c r="B5" s="32" t="s">
        <v>1302</v>
      </c>
      <c r="C5" s="9">
        <v>4</v>
      </c>
      <c r="D5" s="9">
        <v>0</v>
      </c>
      <c r="E5" s="31" t="s">
        <v>1307</v>
      </c>
      <c r="F5" s="26">
        <v>1</v>
      </c>
    </row>
    <row r="6" spans="1:6" ht="303.60000000000002">
      <c r="A6" s="42" t="s">
        <v>1157</v>
      </c>
      <c r="B6" s="32" t="s">
        <v>535</v>
      </c>
      <c r="C6" s="9">
        <v>4</v>
      </c>
      <c r="D6" s="9">
        <v>0</v>
      </c>
      <c r="E6" s="31" t="s">
        <v>1308</v>
      </c>
      <c r="F6" s="26">
        <v>1</v>
      </c>
    </row>
    <row r="7" spans="1:6" ht="330" hidden="1">
      <c r="A7" s="42" t="s">
        <v>1156</v>
      </c>
      <c r="B7" s="32" t="s">
        <v>774</v>
      </c>
      <c r="C7" s="9">
        <v>4</v>
      </c>
      <c r="D7" s="9">
        <v>1</v>
      </c>
      <c r="E7" s="31" t="s">
        <v>1325</v>
      </c>
      <c r="F7" s="26">
        <v>3</v>
      </c>
    </row>
    <row r="8" spans="1:6" ht="118.8" hidden="1">
      <c r="A8" s="37" t="s">
        <v>1155</v>
      </c>
      <c r="B8" s="32" t="s">
        <v>783</v>
      </c>
      <c r="C8" s="9">
        <v>4</v>
      </c>
      <c r="D8" s="9">
        <v>1</v>
      </c>
      <c r="E8" s="31" t="s">
        <v>1326</v>
      </c>
      <c r="F8" s="26">
        <v>2</v>
      </c>
    </row>
    <row r="9" spans="1:6" ht="250.8" hidden="1">
      <c r="A9" s="37" t="s">
        <v>1154</v>
      </c>
      <c r="B9" s="32" t="s">
        <v>843</v>
      </c>
      <c r="C9" s="9">
        <v>4</v>
      </c>
      <c r="D9" s="9">
        <v>1</v>
      </c>
      <c r="E9" s="31" t="s">
        <v>1327</v>
      </c>
      <c r="F9" s="26">
        <v>2</v>
      </c>
    </row>
    <row r="10" spans="1:6" ht="118.8">
      <c r="A10" s="37" t="s">
        <v>1153</v>
      </c>
      <c r="B10" s="32" t="s">
        <v>778</v>
      </c>
      <c r="C10" s="9">
        <v>4</v>
      </c>
      <c r="D10" s="9">
        <v>0</v>
      </c>
      <c r="E10" s="31" t="s">
        <v>1309</v>
      </c>
      <c r="F10" s="26">
        <v>1</v>
      </c>
    </row>
    <row r="11" spans="1:6" ht="171.6" hidden="1">
      <c r="A11" s="37" t="s">
        <v>1152</v>
      </c>
      <c r="B11" s="32" t="s">
        <v>1328</v>
      </c>
      <c r="C11" s="9">
        <v>4</v>
      </c>
      <c r="D11" s="9">
        <v>1</v>
      </c>
      <c r="E11" s="31" t="s">
        <v>1329</v>
      </c>
      <c r="F11" s="26">
        <v>2</v>
      </c>
    </row>
    <row r="12" spans="1:6" ht="198" hidden="1">
      <c r="A12" s="37" t="s">
        <v>1151</v>
      </c>
      <c r="B12" s="32" t="s">
        <v>716</v>
      </c>
      <c r="C12" s="9">
        <v>4</v>
      </c>
      <c r="D12" s="9">
        <v>1</v>
      </c>
      <c r="E12" s="31" t="s">
        <v>1330</v>
      </c>
      <c r="F12" s="26">
        <v>2</v>
      </c>
    </row>
    <row r="13" spans="1:6" ht="277.2">
      <c r="A13" s="37" t="s">
        <v>1311</v>
      </c>
      <c r="B13" s="32" t="s">
        <v>85</v>
      </c>
      <c r="C13" s="9">
        <v>4</v>
      </c>
      <c r="D13" s="9">
        <v>0</v>
      </c>
      <c r="E13" s="31" t="s">
        <v>1310</v>
      </c>
      <c r="F13" s="26">
        <v>1</v>
      </c>
    </row>
    <row r="14" spans="1:6" ht="343.2">
      <c r="A14" s="42" t="s">
        <v>1150</v>
      </c>
      <c r="B14" s="32" t="s">
        <v>234</v>
      </c>
      <c r="C14" s="9">
        <v>4</v>
      </c>
      <c r="D14" s="9">
        <v>0</v>
      </c>
      <c r="E14" s="31" t="s">
        <v>1312</v>
      </c>
      <c r="F14" s="26">
        <v>1</v>
      </c>
    </row>
    <row r="15" spans="1:6" ht="343.2" hidden="1">
      <c r="A15" s="42" t="s">
        <v>1149</v>
      </c>
      <c r="B15" s="32" t="s">
        <v>764</v>
      </c>
      <c r="C15" s="9">
        <v>4</v>
      </c>
      <c r="D15" s="9">
        <v>1</v>
      </c>
      <c r="E15" s="31" t="s">
        <v>1342</v>
      </c>
      <c r="F15" s="26">
        <v>2</v>
      </c>
    </row>
    <row r="16" spans="1:6" ht="409.2">
      <c r="A16" s="37" t="s">
        <v>1148</v>
      </c>
      <c r="B16" s="32" t="s">
        <v>603</v>
      </c>
      <c r="C16" s="9">
        <v>4</v>
      </c>
      <c r="D16" s="9">
        <v>0</v>
      </c>
      <c r="E16" s="31" t="s">
        <v>1313</v>
      </c>
      <c r="F16" s="26">
        <v>1</v>
      </c>
    </row>
    <row r="17" spans="1:6" ht="330">
      <c r="A17" s="37" t="s">
        <v>1147</v>
      </c>
      <c r="B17" s="32" t="s">
        <v>792</v>
      </c>
      <c r="C17" s="9">
        <v>4</v>
      </c>
      <c r="D17" s="9">
        <v>0</v>
      </c>
      <c r="E17" s="31" t="s">
        <v>1314</v>
      </c>
      <c r="F17" s="26">
        <v>1</v>
      </c>
    </row>
    <row r="18" spans="1:6" ht="277.2">
      <c r="A18" s="37" t="s">
        <v>1146</v>
      </c>
      <c r="B18" s="32" t="s">
        <v>726</v>
      </c>
      <c r="C18" s="9">
        <v>4</v>
      </c>
      <c r="D18" s="9">
        <v>0</v>
      </c>
      <c r="E18" s="31" t="s">
        <v>1315</v>
      </c>
      <c r="F18" s="26">
        <v>1</v>
      </c>
    </row>
    <row r="19" spans="1:6" ht="409.6" hidden="1">
      <c r="A19" s="37" t="s">
        <v>1145</v>
      </c>
      <c r="B19" s="32" t="s">
        <v>721</v>
      </c>
      <c r="C19" s="9">
        <v>4</v>
      </c>
      <c r="D19" s="9">
        <v>1</v>
      </c>
      <c r="E19" s="31" t="s">
        <v>1331</v>
      </c>
      <c r="F19" s="26">
        <v>2</v>
      </c>
    </row>
    <row r="20" spans="1:6" ht="250.8" hidden="1">
      <c r="A20" s="37" t="s">
        <v>1144</v>
      </c>
      <c r="B20" s="32" t="s">
        <v>881</v>
      </c>
      <c r="C20" s="9">
        <v>4</v>
      </c>
      <c r="D20" s="9">
        <v>1</v>
      </c>
      <c r="E20" s="31" t="s">
        <v>1316</v>
      </c>
      <c r="F20" s="26">
        <v>2</v>
      </c>
    </row>
    <row r="21" spans="1:6" ht="409.6" hidden="1">
      <c r="A21" s="37" t="s">
        <v>1143</v>
      </c>
      <c r="B21" s="6" t="s">
        <v>799</v>
      </c>
      <c r="C21" s="9">
        <v>4</v>
      </c>
      <c r="D21" s="9">
        <v>1</v>
      </c>
      <c r="E21" s="31" t="s">
        <v>1331</v>
      </c>
      <c r="F21" s="26">
        <v>2</v>
      </c>
    </row>
    <row r="22" spans="1:6" ht="118.8" hidden="1">
      <c r="A22" s="37" t="s">
        <v>1142</v>
      </c>
      <c r="B22" s="32" t="s">
        <v>876</v>
      </c>
      <c r="C22" s="9">
        <v>4</v>
      </c>
      <c r="D22" s="9">
        <v>1</v>
      </c>
      <c r="E22" s="31" t="s">
        <v>1332</v>
      </c>
      <c r="F22" s="26">
        <v>2</v>
      </c>
    </row>
    <row r="23" spans="1:6" ht="382.8">
      <c r="A23" s="37" t="s">
        <v>1141</v>
      </c>
      <c r="B23" s="32" t="s">
        <v>1303</v>
      </c>
      <c r="C23" s="9">
        <v>4</v>
      </c>
      <c r="D23" s="9">
        <v>0</v>
      </c>
      <c r="E23" s="31" t="s">
        <v>1317</v>
      </c>
      <c r="F23" s="26">
        <v>0</v>
      </c>
    </row>
    <row r="24" spans="1:6" ht="277.2" hidden="1">
      <c r="A24" s="42" t="s">
        <v>1140</v>
      </c>
      <c r="B24" s="32" t="s">
        <v>871</v>
      </c>
      <c r="C24" s="9">
        <v>4</v>
      </c>
      <c r="D24" s="9">
        <v>1</v>
      </c>
      <c r="E24" s="31" t="s">
        <v>1333</v>
      </c>
      <c r="F24" s="26">
        <v>2</v>
      </c>
    </row>
    <row r="25" spans="1:6" ht="277.2">
      <c r="A25" s="37" t="s">
        <v>1139</v>
      </c>
      <c r="B25" s="32" t="s">
        <v>1318</v>
      </c>
      <c r="C25" s="9">
        <v>4</v>
      </c>
      <c r="D25" s="9">
        <v>0</v>
      </c>
      <c r="E25" s="31" t="s">
        <v>1319</v>
      </c>
      <c r="F25" s="26">
        <v>1</v>
      </c>
    </row>
    <row r="26" spans="1:6" ht="250.8">
      <c r="A26" s="37" t="s">
        <v>1138</v>
      </c>
      <c r="B26" s="32" t="s">
        <v>865</v>
      </c>
      <c r="C26" s="9">
        <v>4</v>
      </c>
      <c r="D26" s="9">
        <v>0</v>
      </c>
      <c r="E26" s="31" t="s">
        <v>1320</v>
      </c>
      <c r="F26" s="26">
        <v>1</v>
      </c>
    </row>
    <row r="27" spans="1:6" ht="409.6">
      <c r="A27" s="37" t="s">
        <v>1137</v>
      </c>
      <c r="B27" s="32" t="s">
        <v>759</v>
      </c>
      <c r="C27" s="9">
        <v>4</v>
      </c>
      <c r="D27" s="9">
        <v>0</v>
      </c>
      <c r="E27" s="31" t="s">
        <v>1321</v>
      </c>
      <c r="F27" s="26">
        <v>1</v>
      </c>
    </row>
    <row r="28" spans="1:6" ht="224.4">
      <c r="A28" s="37" t="s">
        <v>1136</v>
      </c>
      <c r="B28" s="32" t="s">
        <v>808</v>
      </c>
      <c r="C28" s="9">
        <v>4</v>
      </c>
      <c r="D28" s="9">
        <v>0</v>
      </c>
      <c r="E28" s="31" t="s">
        <v>1322</v>
      </c>
      <c r="F28" s="26">
        <v>1</v>
      </c>
    </row>
    <row r="29" spans="1:6" ht="343.2">
      <c r="A29" s="37" t="s">
        <v>1135</v>
      </c>
      <c r="B29" s="32" t="s">
        <v>826</v>
      </c>
      <c r="C29" s="9">
        <v>4</v>
      </c>
      <c r="D29" s="9">
        <v>0</v>
      </c>
      <c r="E29" s="31" t="s">
        <v>1323</v>
      </c>
      <c r="F29" s="26">
        <v>0</v>
      </c>
    </row>
    <row r="30" spans="1:6" ht="237.6" hidden="1">
      <c r="A30" s="37" t="s">
        <v>1134</v>
      </c>
      <c r="B30" s="32" t="s">
        <v>749</v>
      </c>
      <c r="C30" s="9">
        <v>4</v>
      </c>
      <c r="D30" s="9">
        <v>1</v>
      </c>
      <c r="E30" s="31" t="s">
        <v>1334</v>
      </c>
      <c r="F30" s="26">
        <v>2</v>
      </c>
    </row>
    <row r="31" spans="1:6" ht="198" hidden="1">
      <c r="A31" s="37" t="s">
        <v>1133</v>
      </c>
      <c r="B31" s="32" t="s">
        <v>744</v>
      </c>
      <c r="C31" s="9">
        <v>4</v>
      </c>
      <c r="D31" s="9">
        <v>1</v>
      </c>
      <c r="E31" s="31" t="s">
        <v>1335</v>
      </c>
      <c r="F31" s="26">
        <v>2</v>
      </c>
    </row>
    <row r="32" spans="1:6" ht="237.6" hidden="1">
      <c r="A32" s="37" t="s">
        <v>1132</v>
      </c>
      <c r="B32" s="32" t="s">
        <v>816</v>
      </c>
      <c r="C32" s="9">
        <v>4</v>
      </c>
      <c r="D32" s="9">
        <v>1</v>
      </c>
      <c r="E32" s="52" t="s">
        <v>1336</v>
      </c>
      <c r="F32" s="26">
        <v>2</v>
      </c>
    </row>
    <row r="33" spans="1:8" ht="409.6" hidden="1">
      <c r="A33" s="37" t="s">
        <v>1131</v>
      </c>
      <c r="B33" s="32" t="s">
        <v>860</v>
      </c>
      <c r="C33" s="9">
        <v>4</v>
      </c>
      <c r="D33" s="9">
        <v>1</v>
      </c>
      <c r="E33" s="31" t="s">
        <v>1337</v>
      </c>
      <c r="F33" s="26">
        <v>2</v>
      </c>
    </row>
    <row r="34" spans="1:8" ht="264" hidden="1">
      <c r="A34" s="37" t="s">
        <v>1130</v>
      </c>
      <c r="B34" s="32" t="s">
        <v>821</v>
      </c>
      <c r="C34" s="9">
        <v>4</v>
      </c>
      <c r="D34" s="9">
        <v>1</v>
      </c>
      <c r="E34" s="31" t="s">
        <v>1338</v>
      </c>
      <c r="F34" s="26">
        <v>2</v>
      </c>
    </row>
    <row r="35" spans="1:8" ht="145.19999999999999" hidden="1">
      <c r="A35" s="37" t="s">
        <v>1129</v>
      </c>
      <c r="B35" s="32" t="s">
        <v>1304</v>
      </c>
      <c r="C35" s="9">
        <v>4</v>
      </c>
      <c r="D35" s="9">
        <v>1</v>
      </c>
      <c r="E35" s="31" t="s">
        <v>1339</v>
      </c>
      <c r="F35" s="26">
        <v>2</v>
      </c>
    </row>
    <row r="36" spans="1:8" ht="396" hidden="1">
      <c r="A36" s="42" t="s">
        <v>1128</v>
      </c>
      <c r="B36" s="32" t="s">
        <v>831</v>
      </c>
      <c r="C36" s="9">
        <v>4</v>
      </c>
      <c r="D36" s="9">
        <v>1</v>
      </c>
      <c r="E36" s="31" t="s">
        <v>1340</v>
      </c>
      <c r="F36" s="26">
        <v>2</v>
      </c>
    </row>
    <row r="37" spans="1:8" ht="171.6">
      <c r="A37" s="37" t="s">
        <v>1127</v>
      </c>
      <c r="B37" s="32" t="s">
        <v>1498</v>
      </c>
      <c r="C37" s="9">
        <v>4</v>
      </c>
      <c r="D37" s="9">
        <v>0</v>
      </c>
      <c r="E37" s="31" t="s">
        <v>1499</v>
      </c>
      <c r="F37" s="26">
        <v>1</v>
      </c>
    </row>
    <row r="38" spans="1:8">
      <c r="A38" s="4"/>
      <c r="B38" s="4"/>
      <c r="C38" s="3"/>
      <c r="D38" s="3"/>
    </row>
    <row r="39" spans="1:8" ht="15">
      <c r="F39" s="47"/>
      <c r="G39" s="50" t="s">
        <v>886</v>
      </c>
      <c r="H39" s="50" t="s">
        <v>887</v>
      </c>
    </row>
    <row r="40" spans="1:8" ht="15">
      <c r="F40" s="47"/>
      <c r="G40" s="68">
        <f>(COUNTIF($F$2:$F$40, 1)/36)*100</f>
        <v>41.666666666666671</v>
      </c>
      <c r="H40" s="68">
        <f>(COUNTIF($F$2:$F$40, 0)/36)*100</f>
        <v>5.5555555555555554</v>
      </c>
    </row>
    <row r="41" spans="1:8" ht="15">
      <c r="F41" s="48" t="s">
        <v>888</v>
      </c>
      <c r="G41" s="69"/>
      <c r="H41" s="68"/>
    </row>
    <row r="42" spans="1:8" ht="15">
      <c r="F42" s="48"/>
      <c r="G42" s="69"/>
      <c r="H42" s="68"/>
    </row>
    <row r="43" spans="1:8" ht="15">
      <c r="F43" s="48"/>
      <c r="G43" s="70">
        <f>(COUNTIF($F$2:$F$40, 2)/36)*100</f>
        <v>50</v>
      </c>
      <c r="H43" s="68">
        <f>(COUNTIF($F$2:$F$40, 3)/36)*100</f>
        <v>2.7777777777777777</v>
      </c>
    </row>
    <row r="44" spans="1:8" ht="15">
      <c r="F44" s="48" t="s">
        <v>889</v>
      </c>
      <c r="G44" s="69"/>
      <c r="H44" s="68"/>
    </row>
    <row r="45" spans="1:8" ht="15">
      <c r="F45" s="47"/>
      <c r="G45" s="69"/>
      <c r="H45" s="68"/>
    </row>
    <row r="47" spans="1:8" ht="15">
      <c r="F47" s="47"/>
      <c r="G47" s="50" t="s">
        <v>886</v>
      </c>
      <c r="H47" s="50" t="s">
        <v>887</v>
      </c>
    </row>
    <row r="48" spans="1:8" ht="15">
      <c r="F48" s="47"/>
      <c r="G48" s="68">
        <f>(COUNTIF($F$2:$F$40,1))</f>
        <v>15</v>
      </c>
      <c r="H48" s="68">
        <f>(COUNTIF($F$2:$F$40, 0))</f>
        <v>2</v>
      </c>
    </row>
    <row r="49" spans="6:8" ht="15">
      <c r="F49" s="48" t="s">
        <v>888</v>
      </c>
      <c r="G49" s="69"/>
      <c r="H49" s="68"/>
    </row>
    <row r="50" spans="6:8" ht="15">
      <c r="F50" s="48"/>
      <c r="G50" s="69"/>
      <c r="H50" s="68"/>
    </row>
    <row r="51" spans="6:8" ht="15">
      <c r="F51" s="48"/>
      <c r="G51" s="70">
        <f>(COUNTIF($F$2:$F$40,2))</f>
        <v>18</v>
      </c>
      <c r="H51" s="68">
        <f>(COUNTIF($F$2:$F$40, 3))</f>
        <v>1</v>
      </c>
    </row>
    <row r="52" spans="6:8" ht="15">
      <c r="F52" s="48" t="s">
        <v>889</v>
      </c>
      <c r="G52" s="69"/>
      <c r="H52" s="68"/>
    </row>
    <row r="53" spans="6:8" ht="15">
      <c r="F53" s="47"/>
      <c r="G53" s="69"/>
      <c r="H53" s="68"/>
    </row>
  </sheetData>
  <sortState xmlns:xlrd2="http://schemas.microsoft.com/office/spreadsheetml/2017/richdata2" ref="D2:D38">
    <sortCondition ref="D2:D38"/>
  </sortState>
  <mergeCells count="8">
    <mergeCell ref="G51:G53"/>
    <mergeCell ref="H51:H53"/>
    <mergeCell ref="G40:G42"/>
    <mergeCell ref="H40:H42"/>
    <mergeCell ref="G43:G45"/>
    <mergeCell ref="H43:H45"/>
    <mergeCell ref="G48:G50"/>
    <mergeCell ref="H48:H50"/>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B2FC-D0A3-4F42-951C-DDC2AECF49F5}">
  <dimension ref="A1:G56"/>
  <sheetViews>
    <sheetView workbookViewId="0">
      <selection activeCell="D50" sqref="D50"/>
    </sheetView>
  </sheetViews>
  <sheetFormatPr defaultRowHeight="13.2"/>
  <cols>
    <col min="1" max="1" width="12.77734375" bestFit="1" customWidth="1"/>
    <col min="2" max="2" width="69.77734375" bestFit="1" customWidth="1"/>
    <col min="3" max="3" width="53.44140625" bestFit="1" customWidth="1"/>
    <col min="4" max="4" width="6" bestFit="1" customWidth="1"/>
    <col min="5" max="5" width="9.77734375" bestFit="1" customWidth="1"/>
    <col min="6" max="6" width="80.88671875" bestFit="1" customWidth="1"/>
    <col min="7" max="7" width="17.5546875" bestFit="1" customWidth="1"/>
  </cols>
  <sheetData>
    <row r="1" spans="1:7">
      <c r="A1" t="s">
        <v>1343</v>
      </c>
      <c r="B1" t="s">
        <v>1344</v>
      </c>
      <c r="C1" t="s">
        <v>1</v>
      </c>
      <c r="D1" t="s">
        <v>896</v>
      </c>
      <c r="E1" t="s">
        <v>894</v>
      </c>
      <c r="F1" t="s">
        <v>913</v>
      </c>
      <c r="G1" t="s">
        <v>707</v>
      </c>
    </row>
    <row r="2" spans="1:7" hidden="1">
      <c r="A2">
        <v>2</v>
      </c>
      <c r="B2" s="65" t="s">
        <v>1462</v>
      </c>
      <c r="C2" s="65" t="s">
        <v>779</v>
      </c>
      <c r="D2">
        <v>5</v>
      </c>
      <c r="E2">
        <v>0</v>
      </c>
      <c r="F2" s="65" t="s">
        <v>1257</v>
      </c>
      <c r="G2">
        <v>1</v>
      </c>
    </row>
    <row r="3" spans="1:7" hidden="1">
      <c r="A3">
        <v>3</v>
      </c>
      <c r="B3" s="65" t="s">
        <v>1463</v>
      </c>
      <c r="C3" s="65" t="s">
        <v>844</v>
      </c>
      <c r="D3">
        <v>5</v>
      </c>
      <c r="E3">
        <v>0</v>
      </c>
      <c r="F3" s="65" t="s">
        <v>1258</v>
      </c>
      <c r="G3">
        <v>1</v>
      </c>
    </row>
    <row r="4" spans="1:7" hidden="1">
      <c r="A4">
        <v>1</v>
      </c>
      <c r="B4" s="65" t="s">
        <v>1464</v>
      </c>
      <c r="C4" s="65" t="s">
        <v>717</v>
      </c>
      <c r="D4">
        <v>5</v>
      </c>
      <c r="E4">
        <v>0</v>
      </c>
      <c r="F4" s="65" t="s">
        <v>1259</v>
      </c>
      <c r="G4">
        <v>1</v>
      </c>
    </row>
    <row r="5" spans="1:7" hidden="1">
      <c r="A5">
        <v>2</v>
      </c>
      <c r="B5" s="65" t="s">
        <v>1465</v>
      </c>
      <c r="C5" s="65" t="s">
        <v>259</v>
      </c>
      <c r="D5">
        <v>5</v>
      </c>
      <c r="E5">
        <v>0</v>
      </c>
      <c r="F5" s="65" t="s">
        <v>1260</v>
      </c>
      <c r="G5">
        <v>1</v>
      </c>
    </row>
    <row r="6" spans="1:7" hidden="1">
      <c r="A6">
        <v>2</v>
      </c>
      <c r="B6" s="65" t="s">
        <v>1466</v>
      </c>
      <c r="C6" s="65" t="s">
        <v>789</v>
      </c>
      <c r="D6">
        <v>5</v>
      </c>
      <c r="E6">
        <v>0</v>
      </c>
      <c r="F6" s="65" t="s">
        <v>1261</v>
      </c>
      <c r="G6">
        <v>1</v>
      </c>
    </row>
    <row r="7" spans="1:7">
      <c r="A7">
        <v>1</v>
      </c>
      <c r="B7" s="65" t="s">
        <v>1467</v>
      </c>
      <c r="C7" s="65" t="s">
        <v>1277</v>
      </c>
      <c r="D7">
        <v>5</v>
      </c>
      <c r="E7">
        <v>1</v>
      </c>
      <c r="F7" s="65" t="s">
        <v>1276</v>
      </c>
      <c r="G7">
        <v>2</v>
      </c>
    </row>
    <row r="8" spans="1:7" hidden="1">
      <c r="A8">
        <v>1</v>
      </c>
      <c r="B8" s="65" t="s">
        <v>1468</v>
      </c>
      <c r="C8" s="65" t="s">
        <v>722</v>
      </c>
      <c r="D8">
        <v>5</v>
      </c>
      <c r="E8">
        <v>0</v>
      </c>
      <c r="F8" s="65" t="s">
        <v>1262</v>
      </c>
      <c r="G8">
        <v>1</v>
      </c>
    </row>
    <row r="9" spans="1:7" hidden="1">
      <c r="A9">
        <v>2</v>
      </c>
      <c r="B9" s="65" t="s">
        <v>1469</v>
      </c>
      <c r="C9" s="65" t="s">
        <v>800</v>
      </c>
      <c r="D9">
        <v>5</v>
      </c>
      <c r="E9">
        <v>0</v>
      </c>
      <c r="F9" s="65" t="s">
        <v>1278</v>
      </c>
      <c r="G9">
        <v>0</v>
      </c>
    </row>
    <row r="10" spans="1:7" hidden="1">
      <c r="A10">
        <v>2</v>
      </c>
      <c r="B10" s="65" t="s">
        <v>1470</v>
      </c>
      <c r="C10" s="65" t="s">
        <v>793</v>
      </c>
      <c r="D10">
        <v>5</v>
      </c>
      <c r="E10">
        <v>0</v>
      </c>
      <c r="F10" s="65" t="s">
        <v>1263</v>
      </c>
      <c r="G10">
        <v>1</v>
      </c>
    </row>
    <row r="11" spans="1:7" hidden="1">
      <c r="A11">
        <v>2</v>
      </c>
      <c r="B11" s="65" t="s">
        <v>1471</v>
      </c>
      <c r="C11" s="65" t="s">
        <v>1250</v>
      </c>
      <c r="D11">
        <v>5</v>
      </c>
      <c r="E11">
        <v>0</v>
      </c>
      <c r="F11" s="65" t="s">
        <v>1264</v>
      </c>
      <c r="G11">
        <v>0</v>
      </c>
    </row>
    <row r="12" spans="1:7" hidden="1">
      <c r="A12">
        <v>3</v>
      </c>
      <c r="B12" s="65" t="s">
        <v>1472</v>
      </c>
      <c r="C12" s="65" t="s">
        <v>861</v>
      </c>
      <c r="D12">
        <v>5</v>
      </c>
      <c r="E12">
        <v>0</v>
      </c>
      <c r="F12" s="65" t="s">
        <v>1279</v>
      </c>
      <c r="G12">
        <v>1</v>
      </c>
    </row>
    <row r="13" spans="1:7" hidden="1">
      <c r="A13">
        <v>2</v>
      </c>
      <c r="B13" s="65" t="s">
        <v>1473</v>
      </c>
      <c r="C13" s="65" t="s">
        <v>1251</v>
      </c>
      <c r="D13">
        <v>5</v>
      </c>
      <c r="E13">
        <v>0</v>
      </c>
      <c r="F13" s="65" t="s">
        <v>1265</v>
      </c>
      <c r="G13">
        <v>1</v>
      </c>
    </row>
    <row r="14" spans="1:7">
      <c r="A14">
        <v>3</v>
      </c>
      <c r="B14" s="65" t="s">
        <v>1474</v>
      </c>
      <c r="C14" s="65" t="s">
        <v>882</v>
      </c>
      <c r="D14">
        <v>5</v>
      </c>
      <c r="E14">
        <v>1</v>
      </c>
      <c r="F14" s="65" t="s">
        <v>1280</v>
      </c>
      <c r="G14">
        <v>2</v>
      </c>
    </row>
    <row r="15" spans="1:7">
      <c r="A15">
        <v>1</v>
      </c>
      <c r="B15" s="65" t="s">
        <v>1475</v>
      </c>
      <c r="C15" s="65" t="s">
        <v>1281</v>
      </c>
      <c r="D15">
        <v>5</v>
      </c>
      <c r="E15">
        <v>1</v>
      </c>
      <c r="F15" s="65" t="s">
        <v>1282</v>
      </c>
      <c r="G15">
        <v>3</v>
      </c>
    </row>
    <row r="16" spans="1:7" hidden="1">
      <c r="A16">
        <v>3</v>
      </c>
      <c r="B16" s="65" t="s">
        <v>1476</v>
      </c>
      <c r="C16" s="65" t="s">
        <v>839</v>
      </c>
      <c r="D16">
        <v>5</v>
      </c>
      <c r="E16">
        <v>0</v>
      </c>
      <c r="F16" s="65" t="s">
        <v>1266</v>
      </c>
      <c r="G16">
        <v>1</v>
      </c>
    </row>
    <row r="17" spans="1:7">
      <c r="A17">
        <v>2</v>
      </c>
      <c r="B17" s="65" t="s">
        <v>1477</v>
      </c>
      <c r="C17" s="65" t="s">
        <v>1283</v>
      </c>
      <c r="D17">
        <v>5</v>
      </c>
      <c r="E17">
        <v>1</v>
      </c>
      <c r="F17" s="65" t="s">
        <v>1284</v>
      </c>
      <c r="G17">
        <v>3</v>
      </c>
    </row>
    <row r="18" spans="1:7" hidden="1">
      <c r="A18">
        <v>3</v>
      </c>
      <c r="B18" s="65" t="s">
        <v>1478</v>
      </c>
      <c r="C18" s="65" t="s">
        <v>848</v>
      </c>
      <c r="D18">
        <v>5</v>
      </c>
      <c r="E18">
        <v>0</v>
      </c>
      <c r="F18" s="65" t="s">
        <v>1267</v>
      </c>
      <c r="G18">
        <v>1</v>
      </c>
    </row>
    <row r="19" spans="1:7">
      <c r="A19">
        <v>2</v>
      </c>
      <c r="B19" s="65" t="s">
        <v>1479</v>
      </c>
      <c r="C19" s="65" t="s">
        <v>814</v>
      </c>
      <c r="D19">
        <v>5</v>
      </c>
      <c r="E19">
        <v>1</v>
      </c>
      <c r="F19" s="65" t="s">
        <v>1285</v>
      </c>
      <c r="G19">
        <v>2</v>
      </c>
    </row>
    <row r="20" spans="1:7">
      <c r="A20">
        <v>2</v>
      </c>
      <c r="B20" s="65" t="s">
        <v>1480</v>
      </c>
      <c r="C20" s="65" t="s">
        <v>822</v>
      </c>
      <c r="D20">
        <v>5</v>
      </c>
      <c r="E20">
        <v>1</v>
      </c>
      <c r="F20" s="65" t="s">
        <v>1286</v>
      </c>
      <c r="G20">
        <v>2</v>
      </c>
    </row>
    <row r="21" spans="1:7" hidden="1">
      <c r="A21">
        <v>1</v>
      </c>
      <c r="B21" s="65" t="s">
        <v>1481</v>
      </c>
      <c r="C21" s="65" t="s">
        <v>1252</v>
      </c>
      <c r="D21">
        <v>5</v>
      </c>
      <c r="E21">
        <v>0</v>
      </c>
      <c r="F21" s="65" t="s">
        <v>1268</v>
      </c>
      <c r="G21">
        <v>1</v>
      </c>
    </row>
    <row r="22" spans="1:7">
      <c r="A22">
        <v>1</v>
      </c>
      <c r="B22" s="65" t="s">
        <v>1482</v>
      </c>
      <c r="C22" s="65" t="s">
        <v>1287</v>
      </c>
      <c r="D22">
        <v>5</v>
      </c>
      <c r="E22">
        <v>1</v>
      </c>
      <c r="F22" s="65" t="s">
        <v>1288</v>
      </c>
      <c r="G22">
        <v>2</v>
      </c>
    </row>
    <row r="23" spans="1:7">
      <c r="A23">
        <v>2</v>
      </c>
      <c r="B23" s="65" t="s">
        <v>1483</v>
      </c>
      <c r="C23" s="65" t="s">
        <v>832</v>
      </c>
      <c r="D23">
        <v>5</v>
      </c>
      <c r="E23">
        <v>1</v>
      </c>
      <c r="F23" s="65" t="s">
        <v>1289</v>
      </c>
      <c r="G23">
        <v>2</v>
      </c>
    </row>
    <row r="24" spans="1:7">
      <c r="A24">
        <v>2</v>
      </c>
      <c r="B24" s="65" t="s">
        <v>1484</v>
      </c>
      <c r="C24" s="65" t="s">
        <v>1275</v>
      </c>
      <c r="D24">
        <v>5</v>
      </c>
      <c r="E24">
        <v>1</v>
      </c>
      <c r="F24" s="65" t="s">
        <v>1290</v>
      </c>
      <c r="G24">
        <v>2</v>
      </c>
    </row>
    <row r="25" spans="1:7">
      <c r="A25">
        <v>2</v>
      </c>
      <c r="B25" s="65" t="s">
        <v>1485</v>
      </c>
      <c r="C25" s="65" t="s">
        <v>817</v>
      </c>
      <c r="D25">
        <v>5</v>
      </c>
      <c r="E25">
        <v>1</v>
      </c>
      <c r="F25" s="65" t="s">
        <v>1291</v>
      </c>
      <c r="G25">
        <v>2</v>
      </c>
    </row>
    <row r="26" spans="1:7" hidden="1">
      <c r="A26">
        <v>3</v>
      </c>
      <c r="B26" s="65" t="s">
        <v>1486</v>
      </c>
      <c r="C26" s="65" t="s">
        <v>1253</v>
      </c>
      <c r="D26">
        <v>5</v>
      </c>
      <c r="E26">
        <v>0</v>
      </c>
      <c r="F26" s="65" t="s">
        <v>1269</v>
      </c>
      <c r="G26">
        <v>1</v>
      </c>
    </row>
    <row r="27" spans="1:7">
      <c r="A27">
        <v>3</v>
      </c>
      <c r="B27" s="65" t="s">
        <v>1487</v>
      </c>
      <c r="C27" s="65" t="s">
        <v>877</v>
      </c>
      <c r="D27">
        <v>5</v>
      </c>
      <c r="E27">
        <v>1</v>
      </c>
      <c r="F27" s="65" t="s">
        <v>1292</v>
      </c>
      <c r="G27">
        <v>2</v>
      </c>
    </row>
    <row r="28" spans="1:7" hidden="1">
      <c r="A28">
        <v>1</v>
      </c>
      <c r="B28" s="65" t="s">
        <v>1488</v>
      </c>
      <c r="C28" s="65" t="s">
        <v>1254</v>
      </c>
      <c r="D28">
        <v>5</v>
      </c>
      <c r="E28">
        <v>0</v>
      </c>
      <c r="F28" s="65" t="s">
        <v>1270</v>
      </c>
      <c r="G28">
        <v>1</v>
      </c>
    </row>
    <row r="29" spans="1:7">
      <c r="A29">
        <v>1</v>
      </c>
      <c r="B29" s="65" t="s">
        <v>1489</v>
      </c>
      <c r="C29" s="65" t="s">
        <v>1293</v>
      </c>
      <c r="D29">
        <v>5</v>
      </c>
      <c r="E29">
        <v>1</v>
      </c>
      <c r="F29" s="65" t="s">
        <v>1294</v>
      </c>
      <c r="G29">
        <v>2</v>
      </c>
    </row>
    <row r="30" spans="1:7">
      <c r="A30">
        <v>2</v>
      </c>
      <c r="B30" s="65" t="s">
        <v>1490</v>
      </c>
      <c r="C30" s="65" t="s">
        <v>804</v>
      </c>
      <c r="D30">
        <v>5</v>
      </c>
      <c r="E30">
        <v>1</v>
      </c>
      <c r="F30" s="65" t="s">
        <v>1295</v>
      </c>
      <c r="G30">
        <v>2</v>
      </c>
    </row>
    <row r="31" spans="1:7" hidden="1">
      <c r="A31">
        <v>1</v>
      </c>
      <c r="B31" s="65" t="s">
        <v>1491</v>
      </c>
      <c r="C31" s="65" t="s">
        <v>54</v>
      </c>
      <c r="D31">
        <v>5</v>
      </c>
      <c r="E31">
        <v>0</v>
      </c>
      <c r="F31" s="65" t="s">
        <v>1271</v>
      </c>
      <c r="G31">
        <v>1</v>
      </c>
    </row>
    <row r="32" spans="1:7" hidden="1">
      <c r="A32">
        <v>2</v>
      </c>
      <c r="B32" s="65" t="s">
        <v>1492</v>
      </c>
      <c r="C32" s="65" t="s">
        <v>1256</v>
      </c>
      <c r="D32">
        <v>5</v>
      </c>
      <c r="E32">
        <v>0</v>
      </c>
      <c r="F32" s="65" t="s">
        <v>1272</v>
      </c>
      <c r="G32">
        <v>1</v>
      </c>
    </row>
    <row r="33" spans="1:7" hidden="1">
      <c r="A33">
        <v>5</v>
      </c>
      <c r="B33" s="65" t="s">
        <v>1493</v>
      </c>
      <c r="C33" s="65" t="s">
        <v>1297</v>
      </c>
      <c r="D33">
        <v>5</v>
      </c>
      <c r="E33">
        <v>0</v>
      </c>
      <c r="F33" s="65" t="s">
        <v>1298</v>
      </c>
      <c r="G33">
        <v>1</v>
      </c>
    </row>
    <row r="34" spans="1:7">
      <c r="A34">
        <v>3</v>
      </c>
      <c r="B34" s="65" t="s">
        <v>1494</v>
      </c>
      <c r="C34" s="65" t="s">
        <v>867</v>
      </c>
      <c r="D34">
        <v>5</v>
      </c>
      <c r="E34">
        <v>1</v>
      </c>
      <c r="F34" s="65" t="s">
        <v>1299</v>
      </c>
      <c r="G34">
        <v>2</v>
      </c>
    </row>
    <row r="35" spans="1:7" hidden="1">
      <c r="A35">
        <v>3</v>
      </c>
      <c r="B35" s="65" t="s">
        <v>1495</v>
      </c>
      <c r="C35" s="65" t="s">
        <v>857</v>
      </c>
      <c r="D35">
        <v>5</v>
      </c>
      <c r="E35">
        <v>0</v>
      </c>
      <c r="F35" s="65" t="s">
        <v>1273</v>
      </c>
      <c r="G35">
        <v>1</v>
      </c>
    </row>
    <row r="36" spans="1:7" hidden="1">
      <c r="A36">
        <v>2</v>
      </c>
      <c r="B36" s="65" t="s">
        <v>1496</v>
      </c>
      <c r="C36" s="65" t="s">
        <v>1255</v>
      </c>
      <c r="D36">
        <v>5</v>
      </c>
      <c r="E36">
        <v>0</v>
      </c>
      <c r="F36" s="65" t="s">
        <v>1274</v>
      </c>
      <c r="G36">
        <v>1</v>
      </c>
    </row>
    <row r="37" spans="1:7">
      <c r="A37">
        <v>3</v>
      </c>
      <c r="B37" s="65" t="s">
        <v>1497</v>
      </c>
      <c r="C37" s="65" t="s">
        <v>872</v>
      </c>
      <c r="D37">
        <v>5</v>
      </c>
      <c r="E37">
        <v>1</v>
      </c>
      <c r="F37" s="65" t="s">
        <v>1300</v>
      </c>
      <c r="G37">
        <v>2</v>
      </c>
    </row>
    <row r="41" spans="1:7" ht="21">
      <c r="C41" s="67">
        <v>0.88750000000000007</v>
      </c>
    </row>
    <row r="42" spans="1:7" ht="21">
      <c r="C42" s="67">
        <v>0.80486111111111114</v>
      </c>
    </row>
    <row r="43" spans="1:7" ht="21">
      <c r="C43" s="67">
        <v>0.59930555555555554</v>
      </c>
    </row>
    <row r="44" spans="1:7" ht="21">
      <c r="C44" s="67">
        <v>0.68055555555555547</v>
      </c>
    </row>
    <row r="45" spans="1:7" ht="21">
      <c r="C45" s="67">
        <v>0.88541666666666663</v>
      </c>
    </row>
    <row r="46" spans="1:7" ht="21">
      <c r="B46" s="66"/>
      <c r="C46" s="66"/>
      <c r="D46" s="66"/>
      <c r="E46" s="66"/>
    </row>
    <row r="47" spans="1:7" ht="21">
      <c r="B47" s="66"/>
      <c r="C47" s="66"/>
      <c r="D47" s="66"/>
      <c r="E47" s="66"/>
    </row>
    <row r="48" spans="1:7" ht="21">
      <c r="B48" s="66"/>
      <c r="C48" s="66"/>
      <c r="D48" s="66"/>
      <c r="E48" s="66"/>
    </row>
    <row r="49" spans="2:5" ht="21">
      <c r="B49" s="66"/>
      <c r="C49" s="66">
        <f>21+19+14+16+21</f>
        <v>91</v>
      </c>
      <c r="D49" s="66">
        <f>18+19+23+20+15</f>
        <v>95</v>
      </c>
      <c r="E49" s="66"/>
    </row>
    <row r="50" spans="2:5" ht="21">
      <c r="B50" s="66"/>
      <c r="C50" s="66"/>
      <c r="D50" s="66"/>
      <c r="E50" s="66"/>
    </row>
    <row r="56" spans="2:5">
      <c r="C56" s="20"/>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2D51-D6B4-4607-AB98-D6196D394E88}">
  <dimension ref="A1:H54"/>
  <sheetViews>
    <sheetView zoomScale="85" zoomScaleNormal="85" workbookViewId="0">
      <selection activeCell="G3" sqref="G3"/>
    </sheetView>
  </sheetViews>
  <sheetFormatPr defaultRowHeight="13.2"/>
  <cols>
    <col min="1" max="1" width="44.33203125" customWidth="1"/>
    <col min="2" max="2" width="51" bestFit="1" customWidth="1"/>
    <col min="4" max="4" width="9.21875" customWidth="1"/>
    <col min="5" max="5" width="45.88671875" customWidth="1"/>
    <col min="6" max="6" width="17.109375" style="26" customWidth="1"/>
    <col min="7" max="7" width="21.33203125" bestFit="1" customWidth="1"/>
    <col min="8" max="8" width="21.21875" bestFit="1" customWidth="1"/>
  </cols>
  <sheetData>
    <row r="1" spans="1:6">
      <c r="A1" s="39" t="s">
        <v>0</v>
      </c>
      <c r="B1" s="39" t="s">
        <v>1</v>
      </c>
      <c r="C1" s="39" t="s">
        <v>896</v>
      </c>
      <c r="D1" s="39" t="s">
        <v>894</v>
      </c>
      <c r="E1" s="40" t="s">
        <v>913</v>
      </c>
      <c r="F1" s="63" t="s">
        <v>707</v>
      </c>
    </row>
    <row r="2" spans="1:6" ht="132">
      <c r="A2" s="37" t="s">
        <v>1162</v>
      </c>
      <c r="B2" s="32" t="s">
        <v>779</v>
      </c>
      <c r="C2" s="9">
        <v>5</v>
      </c>
      <c r="D2" s="9">
        <v>0</v>
      </c>
      <c r="E2" s="29" t="s">
        <v>1257</v>
      </c>
      <c r="F2" s="26">
        <v>1</v>
      </c>
    </row>
    <row r="3" spans="1:6" ht="198">
      <c r="A3" s="37" t="s">
        <v>1163</v>
      </c>
      <c r="B3" s="32" t="s">
        <v>844</v>
      </c>
      <c r="C3" s="9">
        <v>5</v>
      </c>
      <c r="D3" s="9">
        <v>0</v>
      </c>
      <c r="E3" s="29" t="s">
        <v>1258</v>
      </c>
      <c r="F3" s="26">
        <v>1</v>
      </c>
    </row>
    <row r="4" spans="1:6" ht="158.4">
      <c r="A4" s="37" t="s">
        <v>1164</v>
      </c>
      <c r="B4" s="32" t="s">
        <v>717</v>
      </c>
      <c r="C4" s="9">
        <v>5</v>
      </c>
      <c r="D4" s="9">
        <v>0</v>
      </c>
      <c r="E4" s="29" t="s">
        <v>1259</v>
      </c>
      <c r="F4" s="26">
        <v>1</v>
      </c>
    </row>
    <row r="5" spans="1:6" ht="92.4" hidden="1">
      <c r="A5" s="37" t="s">
        <v>1165</v>
      </c>
      <c r="B5" s="32" t="s">
        <v>1500</v>
      </c>
      <c r="C5" s="9">
        <v>5</v>
      </c>
      <c r="D5" s="9">
        <v>1</v>
      </c>
      <c r="E5" s="29" t="s">
        <v>1501</v>
      </c>
      <c r="F5" s="26">
        <v>2</v>
      </c>
    </row>
    <row r="6" spans="1:6" ht="184.8">
      <c r="A6" s="37" t="s">
        <v>1166</v>
      </c>
      <c r="B6" s="32" t="s">
        <v>789</v>
      </c>
      <c r="C6" s="9">
        <v>5</v>
      </c>
      <c r="D6" s="9">
        <v>0</v>
      </c>
      <c r="E6" s="29" t="s">
        <v>1261</v>
      </c>
      <c r="F6" s="26">
        <v>1</v>
      </c>
    </row>
    <row r="7" spans="1:6" ht="409.6" hidden="1">
      <c r="A7" s="37" t="s">
        <v>1167</v>
      </c>
      <c r="B7" s="32" t="s">
        <v>1277</v>
      </c>
      <c r="C7" s="9">
        <v>5</v>
      </c>
      <c r="D7" s="9">
        <v>1</v>
      </c>
      <c r="E7" s="52" t="s">
        <v>1276</v>
      </c>
      <c r="F7" s="26">
        <v>2</v>
      </c>
    </row>
    <row r="8" spans="1:6" ht="105.6" hidden="1">
      <c r="A8" s="37" t="s">
        <v>1168</v>
      </c>
      <c r="B8" s="32" t="s">
        <v>1502</v>
      </c>
      <c r="C8" s="9">
        <v>5</v>
      </c>
      <c r="D8" s="9">
        <v>1</v>
      </c>
      <c r="E8" s="29" t="s">
        <v>1503</v>
      </c>
      <c r="F8" s="26">
        <v>2</v>
      </c>
    </row>
    <row r="9" spans="1:6" ht="316.8">
      <c r="A9" s="37" t="s">
        <v>1169</v>
      </c>
      <c r="B9" s="32" t="s">
        <v>800</v>
      </c>
      <c r="C9" s="9">
        <v>5</v>
      </c>
      <c r="D9" s="9">
        <v>0</v>
      </c>
      <c r="E9" s="28" t="s">
        <v>1278</v>
      </c>
      <c r="F9" s="26">
        <v>0</v>
      </c>
    </row>
    <row r="10" spans="1:6" ht="224.4">
      <c r="A10" s="37" t="s">
        <v>1170</v>
      </c>
      <c r="B10" s="32" t="s">
        <v>793</v>
      </c>
      <c r="C10" s="9">
        <v>5</v>
      </c>
      <c r="D10" s="9">
        <v>0</v>
      </c>
      <c r="E10" s="29" t="s">
        <v>1263</v>
      </c>
      <c r="F10" s="26">
        <v>1</v>
      </c>
    </row>
    <row r="11" spans="1:6" ht="237.6">
      <c r="A11" s="42" t="s">
        <v>1171</v>
      </c>
      <c r="B11" s="32" t="s">
        <v>1250</v>
      </c>
      <c r="C11" s="9">
        <v>5</v>
      </c>
      <c r="D11" s="9">
        <v>0</v>
      </c>
      <c r="E11" s="29" t="s">
        <v>1264</v>
      </c>
      <c r="F11" s="26">
        <v>0</v>
      </c>
    </row>
    <row r="12" spans="1:6" ht="158.4">
      <c r="A12" s="37" t="s">
        <v>1172</v>
      </c>
      <c r="B12" s="32" t="s">
        <v>861</v>
      </c>
      <c r="C12" s="9">
        <v>5</v>
      </c>
      <c r="D12" s="9">
        <v>0</v>
      </c>
      <c r="E12" s="31" t="s">
        <v>1279</v>
      </c>
      <c r="F12" s="26">
        <v>1</v>
      </c>
    </row>
    <row r="13" spans="1:6" ht="237.6">
      <c r="A13" s="37" t="s">
        <v>1173</v>
      </c>
      <c r="B13" s="32" t="s">
        <v>1251</v>
      </c>
      <c r="C13" s="9">
        <v>5</v>
      </c>
      <c r="D13" s="9">
        <v>0</v>
      </c>
      <c r="E13" s="29" t="s">
        <v>1265</v>
      </c>
      <c r="F13" s="26">
        <v>1</v>
      </c>
    </row>
    <row r="14" spans="1:6" ht="224.4" hidden="1">
      <c r="A14" s="42" t="s">
        <v>1174</v>
      </c>
      <c r="B14" s="32" t="s">
        <v>882</v>
      </c>
      <c r="C14" s="9">
        <v>5</v>
      </c>
      <c r="D14" s="9">
        <v>1</v>
      </c>
      <c r="E14" s="28" t="s">
        <v>1280</v>
      </c>
      <c r="F14" s="26">
        <v>2</v>
      </c>
    </row>
    <row r="15" spans="1:6" ht="39.6" hidden="1">
      <c r="A15" s="37" t="s">
        <v>1175</v>
      </c>
      <c r="B15" s="32" t="s">
        <v>1281</v>
      </c>
      <c r="C15" s="9">
        <v>5</v>
      </c>
      <c r="D15" s="9">
        <v>1</v>
      </c>
      <c r="E15" s="28" t="s">
        <v>1282</v>
      </c>
      <c r="F15" s="26">
        <v>3</v>
      </c>
    </row>
    <row r="16" spans="1:6" ht="198" hidden="1">
      <c r="A16" s="37" t="s">
        <v>1176</v>
      </c>
      <c r="B16" s="32" t="s">
        <v>1504</v>
      </c>
      <c r="C16" s="9">
        <v>5</v>
      </c>
      <c r="D16" s="9">
        <v>1</v>
      </c>
      <c r="E16" s="29" t="s">
        <v>1505</v>
      </c>
      <c r="F16" s="26">
        <v>2</v>
      </c>
    </row>
    <row r="17" spans="1:6" ht="92.4" hidden="1">
      <c r="A17" s="37" t="s">
        <v>1177</v>
      </c>
      <c r="B17" s="32" t="s">
        <v>1283</v>
      </c>
      <c r="C17" s="9">
        <v>5</v>
      </c>
      <c r="D17" s="9">
        <v>1</v>
      </c>
      <c r="E17" s="28" t="s">
        <v>1284</v>
      </c>
      <c r="F17" s="26">
        <v>3</v>
      </c>
    </row>
    <row r="18" spans="1:6" ht="264">
      <c r="A18" s="37" t="s">
        <v>1178</v>
      </c>
      <c r="B18" s="32" t="s">
        <v>848</v>
      </c>
      <c r="C18" s="9">
        <v>5</v>
      </c>
      <c r="D18" s="9">
        <v>0</v>
      </c>
      <c r="E18" s="29" t="s">
        <v>1267</v>
      </c>
      <c r="F18" s="26">
        <v>1</v>
      </c>
    </row>
    <row r="19" spans="1:6" ht="264" hidden="1">
      <c r="A19" s="37" t="s">
        <v>1179</v>
      </c>
      <c r="B19" s="32" t="s">
        <v>814</v>
      </c>
      <c r="C19" s="9">
        <v>5</v>
      </c>
      <c r="D19" s="9">
        <v>1</v>
      </c>
      <c r="E19" s="28" t="s">
        <v>1285</v>
      </c>
      <c r="F19" s="26">
        <v>2</v>
      </c>
    </row>
    <row r="20" spans="1:6" ht="343.2" hidden="1">
      <c r="A20" s="37" t="s">
        <v>1180</v>
      </c>
      <c r="B20" s="32" t="s">
        <v>822</v>
      </c>
      <c r="C20" s="9">
        <v>5</v>
      </c>
      <c r="D20" s="9">
        <v>1</v>
      </c>
      <c r="E20" s="28" t="s">
        <v>1286</v>
      </c>
      <c r="F20" s="26">
        <v>2</v>
      </c>
    </row>
    <row r="21" spans="1:6" ht="330">
      <c r="A21" s="37" t="s">
        <v>1181</v>
      </c>
      <c r="B21" s="32" t="s">
        <v>1252</v>
      </c>
      <c r="C21" s="9">
        <v>5</v>
      </c>
      <c r="D21" s="9">
        <v>0</v>
      </c>
      <c r="E21" s="29" t="s">
        <v>1268</v>
      </c>
      <c r="F21" s="26">
        <v>1</v>
      </c>
    </row>
    <row r="22" spans="1:6" ht="382.8" hidden="1">
      <c r="A22" s="37" t="s">
        <v>1182</v>
      </c>
      <c r="B22" s="32" t="s">
        <v>1287</v>
      </c>
      <c r="C22" s="9">
        <v>5</v>
      </c>
      <c r="D22" s="9">
        <v>1</v>
      </c>
      <c r="E22" s="28" t="s">
        <v>1288</v>
      </c>
      <c r="F22" s="26">
        <v>2</v>
      </c>
    </row>
    <row r="23" spans="1:6" ht="211.2" hidden="1">
      <c r="A23" s="37" t="s">
        <v>1183</v>
      </c>
      <c r="B23" s="32" t="s">
        <v>832</v>
      </c>
      <c r="C23" s="9">
        <v>5</v>
      </c>
      <c r="D23" s="9">
        <v>1</v>
      </c>
      <c r="E23" s="28" t="s">
        <v>1289</v>
      </c>
      <c r="F23" s="26">
        <v>2</v>
      </c>
    </row>
    <row r="24" spans="1:6" ht="184.8" hidden="1">
      <c r="A24" s="37" t="s">
        <v>1184</v>
      </c>
      <c r="B24" s="32" t="s">
        <v>1275</v>
      </c>
      <c r="C24" s="9">
        <v>5</v>
      </c>
      <c r="D24" s="9">
        <v>1</v>
      </c>
      <c r="E24" s="28" t="s">
        <v>1290</v>
      </c>
      <c r="F24" s="26">
        <v>2</v>
      </c>
    </row>
    <row r="25" spans="1:6" ht="382.8" hidden="1">
      <c r="A25" s="37" t="s">
        <v>1185</v>
      </c>
      <c r="B25" s="32" t="s">
        <v>817</v>
      </c>
      <c r="C25" s="9">
        <v>5</v>
      </c>
      <c r="D25" s="9">
        <v>1</v>
      </c>
      <c r="E25" s="28" t="s">
        <v>1291</v>
      </c>
      <c r="F25" s="26">
        <v>2</v>
      </c>
    </row>
    <row r="26" spans="1:6" ht="198">
      <c r="A26" s="37" t="s">
        <v>1186</v>
      </c>
      <c r="B26" s="32" t="s">
        <v>1253</v>
      </c>
      <c r="C26" s="9">
        <v>5</v>
      </c>
      <c r="D26" s="9">
        <v>0</v>
      </c>
      <c r="E26" s="29" t="s">
        <v>1269</v>
      </c>
      <c r="F26" s="26">
        <v>1</v>
      </c>
    </row>
    <row r="27" spans="1:6" ht="316.8" hidden="1">
      <c r="A27" s="37" t="s">
        <v>1187</v>
      </c>
      <c r="B27" s="32" t="s">
        <v>877</v>
      </c>
      <c r="C27" s="9">
        <v>5</v>
      </c>
      <c r="D27" s="9">
        <v>1</v>
      </c>
      <c r="E27" s="28" t="s">
        <v>1292</v>
      </c>
      <c r="F27" s="26">
        <v>2</v>
      </c>
    </row>
    <row r="28" spans="1:6" ht="250.8">
      <c r="A28" s="37" t="s">
        <v>1188</v>
      </c>
      <c r="B28" s="32" t="s">
        <v>1254</v>
      </c>
      <c r="C28" s="9">
        <v>5</v>
      </c>
      <c r="D28" s="9">
        <v>0</v>
      </c>
      <c r="E28" s="29" t="s">
        <v>1270</v>
      </c>
      <c r="F28" s="26">
        <v>1</v>
      </c>
    </row>
    <row r="29" spans="1:6" ht="184.8" hidden="1">
      <c r="A29" s="37" t="s">
        <v>1189</v>
      </c>
      <c r="B29" s="32" t="s">
        <v>1293</v>
      </c>
      <c r="C29" s="9">
        <v>5</v>
      </c>
      <c r="D29" s="9">
        <v>1</v>
      </c>
      <c r="E29" s="28" t="s">
        <v>1294</v>
      </c>
      <c r="F29" s="26">
        <v>2</v>
      </c>
    </row>
    <row r="30" spans="1:6" ht="237.6" hidden="1">
      <c r="A30" s="37" t="s">
        <v>1296</v>
      </c>
      <c r="B30" s="32" t="s">
        <v>804</v>
      </c>
      <c r="C30" s="9">
        <v>5</v>
      </c>
      <c r="D30" s="9">
        <v>1</v>
      </c>
      <c r="E30" s="28" t="s">
        <v>1295</v>
      </c>
      <c r="F30" s="26">
        <v>2</v>
      </c>
    </row>
    <row r="31" spans="1:6" ht="250.8">
      <c r="A31" s="37" t="s">
        <v>1190</v>
      </c>
      <c r="B31" s="32" t="s">
        <v>54</v>
      </c>
      <c r="C31" s="9">
        <v>5</v>
      </c>
      <c r="D31" s="9">
        <v>0</v>
      </c>
      <c r="E31" s="29" t="s">
        <v>1271</v>
      </c>
      <c r="F31" s="26">
        <v>1</v>
      </c>
    </row>
    <row r="32" spans="1:6" ht="66">
      <c r="A32" s="42" t="s">
        <v>1191</v>
      </c>
      <c r="B32" s="32" t="s">
        <v>1256</v>
      </c>
      <c r="C32" s="9">
        <v>5</v>
      </c>
      <c r="D32" s="9">
        <v>0</v>
      </c>
      <c r="E32" s="29" t="s">
        <v>1272</v>
      </c>
      <c r="F32" s="26">
        <v>1</v>
      </c>
    </row>
    <row r="33" spans="1:8" ht="198">
      <c r="A33" s="37" t="s">
        <v>1193</v>
      </c>
      <c r="B33" s="32" t="s">
        <v>1297</v>
      </c>
      <c r="C33" s="9">
        <v>5</v>
      </c>
      <c r="D33" s="9">
        <v>0</v>
      </c>
      <c r="E33" s="28" t="s">
        <v>1298</v>
      </c>
      <c r="F33" s="26">
        <v>1</v>
      </c>
    </row>
    <row r="34" spans="1:8" ht="409.6" hidden="1">
      <c r="A34" s="37" t="s">
        <v>1192</v>
      </c>
      <c r="B34" s="32" t="s">
        <v>867</v>
      </c>
      <c r="C34" s="9">
        <v>5</v>
      </c>
      <c r="D34" s="9">
        <v>1</v>
      </c>
      <c r="E34" s="28" t="s">
        <v>1299</v>
      </c>
      <c r="F34" s="26">
        <v>2</v>
      </c>
    </row>
    <row r="35" spans="1:8" ht="264">
      <c r="A35" s="37" t="s">
        <v>1194</v>
      </c>
      <c r="B35" s="32" t="s">
        <v>857</v>
      </c>
      <c r="C35" s="9">
        <v>5</v>
      </c>
      <c r="D35" s="9">
        <v>0</v>
      </c>
      <c r="E35" s="29" t="s">
        <v>1273</v>
      </c>
      <c r="F35" s="26">
        <v>1</v>
      </c>
    </row>
    <row r="36" spans="1:8" ht="52.8">
      <c r="A36" s="37" t="s">
        <v>1195</v>
      </c>
      <c r="B36" s="32" t="s">
        <v>1255</v>
      </c>
      <c r="C36" s="9">
        <v>5</v>
      </c>
      <c r="D36" s="9">
        <v>0</v>
      </c>
      <c r="E36" s="29" t="s">
        <v>1274</v>
      </c>
      <c r="F36" s="26">
        <v>1</v>
      </c>
    </row>
    <row r="37" spans="1:8" ht="303.60000000000002" hidden="1">
      <c r="A37" s="42" t="s">
        <v>1196</v>
      </c>
      <c r="B37" s="32" t="s">
        <v>872</v>
      </c>
      <c r="C37" s="9">
        <v>5</v>
      </c>
      <c r="D37" s="9">
        <v>1</v>
      </c>
      <c r="E37" s="31" t="s">
        <v>1300</v>
      </c>
      <c r="F37" s="26">
        <v>2</v>
      </c>
    </row>
    <row r="38" spans="1:8">
      <c r="A38" s="4"/>
      <c r="B38" s="4"/>
      <c r="C38" s="3"/>
      <c r="D38" s="3"/>
    </row>
    <row r="39" spans="1:8" ht="15">
      <c r="F39" s="47"/>
      <c r="G39" s="50" t="s">
        <v>886</v>
      </c>
      <c r="H39" s="50" t="s">
        <v>887</v>
      </c>
    </row>
    <row r="40" spans="1:8" ht="15">
      <c r="F40" s="47"/>
      <c r="G40" s="68">
        <f>(COUNTIF($F$2:$F$40, 1)/36)*100</f>
        <v>44.444444444444443</v>
      </c>
      <c r="H40" s="68">
        <f>(COUNTIF($F$2:$F$40, 0)/36)*100</f>
        <v>5.5555555555555554</v>
      </c>
    </row>
    <row r="41" spans="1:8" ht="15">
      <c r="F41" s="48" t="s">
        <v>888</v>
      </c>
      <c r="G41" s="69"/>
      <c r="H41" s="68"/>
    </row>
    <row r="42" spans="1:8" ht="15">
      <c r="F42" s="48"/>
      <c r="G42" s="69"/>
      <c r="H42" s="68"/>
    </row>
    <row r="43" spans="1:8" ht="15">
      <c r="F43" s="48"/>
      <c r="G43" s="70">
        <f>(COUNTIF($F$2:$F$40, 2)/36)*100</f>
        <v>44.444444444444443</v>
      </c>
      <c r="H43" s="68">
        <f>(COUNTIF($F$2:$F$40, 3)/36)*100</f>
        <v>5.5555555555555554</v>
      </c>
    </row>
    <row r="44" spans="1:8" ht="15">
      <c r="F44" s="48" t="s">
        <v>889</v>
      </c>
      <c r="G44" s="69"/>
      <c r="H44" s="68"/>
    </row>
    <row r="45" spans="1:8" ht="15">
      <c r="F45" s="47"/>
      <c r="G45" s="69"/>
      <c r="H45" s="68"/>
    </row>
    <row r="48" spans="1:8" ht="15">
      <c r="F48" s="47"/>
      <c r="G48" s="50" t="s">
        <v>886</v>
      </c>
      <c r="H48" s="50" t="s">
        <v>887</v>
      </c>
    </row>
    <row r="49" spans="6:8" ht="15">
      <c r="F49" s="47"/>
      <c r="G49" s="68">
        <f>(COUNTIF($F$2:$F$40, 1))</f>
        <v>16</v>
      </c>
      <c r="H49" s="68">
        <f>(COUNTIF($F$2:$F$40, 0))</f>
        <v>2</v>
      </c>
    </row>
    <row r="50" spans="6:8" ht="15">
      <c r="F50" s="48" t="s">
        <v>888</v>
      </c>
      <c r="G50" s="69"/>
      <c r="H50" s="68"/>
    </row>
    <row r="51" spans="6:8" ht="15">
      <c r="F51" s="48"/>
      <c r="G51" s="69"/>
      <c r="H51" s="68"/>
    </row>
    <row r="52" spans="6:8" ht="15">
      <c r="F52" s="48"/>
      <c r="G52" s="70">
        <f>(COUNTIF($F$2:$F$40, 2))</f>
        <v>16</v>
      </c>
      <c r="H52" s="68">
        <f>(COUNTIF($F$2:$F$40, 3))</f>
        <v>2</v>
      </c>
    </row>
    <row r="53" spans="6:8" ht="15">
      <c r="F53" s="48" t="s">
        <v>889</v>
      </c>
      <c r="G53" s="69"/>
      <c r="H53" s="68"/>
    </row>
    <row r="54" spans="6:8" ht="15">
      <c r="F54" s="47"/>
      <c r="G54" s="69"/>
      <c r="H54" s="68"/>
    </row>
  </sheetData>
  <sortState xmlns:xlrd2="http://schemas.microsoft.com/office/spreadsheetml/2017/richdata2" ref="A2:F38">
    <sortCondition ref="D2:D38"/>
  </sortState>
  <mergeCells count="8">
    <mergeCell ref="G52:G54"/>
    <mergeCell ref="H52:H54"/>
    <mergeCell ref="G40:G42"/>
    <mergeCell ref="H40:H42"/>
    <mergeCell ref="G43:G45"/>
    <mergeCell ref="H43:H45"/>
    <mergeCell ref="G49:G51"/>
    <mergeCell ref="H49:H5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45"/>
  <sheetViews>
    <sheetView topLeftCell="A57" workbookViewId="0">
      <selection activeCell="G75" sqref="G75"/>
    </sheetView>
  </sheetViews>
  <sheetFormatPr defaultColWidth="12.6640625" defaultRowHeight="15.75" customHeight="1"/>
  <cols>
    <col min="2" max="2" width="4.44140625" customWidth="1"/>
    <col min="3" max="3" width="5.44140625" customWidth="1"/>
    <col min="4" max="4" width="7.6640625" customWidth="1"/>
    <col min="5" max="5" width="9.109375" customWidth="1"/>
    <col min="6" max="6" width="33" customWidth="1"/>
    <col min="7" max="7" width="48.6640625" customWidth="1"/>
    <col min="8" max="8" width="80.88671875" customWidth="1"/>
    <col min="10" max="10" width="15.109375" customWidth="1"/>
  </cols>
  <sheetData>
    <row r="1" spans="1:8">
      <c r="A1" s="54" t="s">
        <v>0</v>
      </c>
      <c r="B1" s="55"/>
      <c r="C1" s="55"/>
      <c r="D1" s="55"/>
      <c r="E1" s="55"/>
      <c r="F1" s="55"/>
      <c r="G1" s="1" t="s">
        <v>1</v>
      </c>
      <c r="H1" s="2" t="s">
        <v>2</v>
      </c>
    </row>
    <row r="2" spans="1:8">
      <c r="A2" s="3">
        <v>1</v>
      </c>
      <c r="B2" s="4" t="s">
        <v>3</v>
      </c>
    </row>
    <row r="3" spans="1:8">
      <c r="A3" s="3"/>
      <c r="B3" s="3">
        <v>1.1000000000000001</v>
      </c>
      <c r="C3" s="4" t="s">
        <v>4</v>
      </c>
      <c r="G3" s="4" t="s">
        <v>5</v>
      </c>
      <c r="H3" s="4"/>
    </row>
    <row r="4" spans="1:8">
      <c r="A4" s="3"/>
      <c r="B4" s="3"/>
      <c r="C4" s="4" t="s">
        <v>6</v>
      </c>
      <c r="D4" s="4" t="s">
        <v>7</v>
      </c>
      <c r="G4" s="4" t="s">
        <v>8</v>
      </c>
      <c r="H4" s="4"/>
    </row>
    <row r="5" spans="1:8">
      <c r="A5" s="3"/>
      <c r="B5" s="3"/>
      <c r="C5" s="4" t="s">
        <v>9</v>
      </c>
      <c r="D5" s="4" t="s">
        <v>10</v>
      </c>
      <c r="G5" s="4" t="s">
        <v>11</v>
      </c>
      <c r="H5" s="4"/>
    </row>
    <row r="6" spans="1:8">
      <c r="A6" s="3"/>
      <c r="B6" s="3">
        <v>1.2</v>
      </c>
      <c r="C6" s="4" t="s">
        <v>12</v>
      </c>
    </row>
    <row r="7" spans="1:8">
      <c r="A7" s="3"/>
      <c r="B7" s="3"/>
      <c r="C7" s="4" t="s">
        <v>13</v>
      </c>
      <c r="D7" s="4" t="s">
        <v>14</v>
      </c>
      <c r="G7" s="4" t="s">
        <v>15</v>
      </c>
      <c r="H7" s="4"/>
    </row>
    <row r="8" spans="1:8">
      <c r="A8" s="3"/>
      <c r="B8" s="3"/>
      <c r="D8" s="3" t="s">
        <v>16</v>
      </c>
      <c r="E8" s="4" t="s">
        <v>17</v>
      </c>
      <c r="G8" s="4" t="s">
        <v>18</v>
      </c>
      <c r="H8" s="4"/>
    </row>
    <row r="9" spans="1:8">
      <c r="A9" s="3"/>
      <c r="B9" s="3"/>
      <c r="C9" s="4"/>
      <c r="D9" s="3" t="s">
        <v>19</v>
      </c>
      <c r="E9" s="4" t="s">
        <v>20</v>
      </c>
      <c r="G9" s="4" t="s">
        <v>21</v>
      </c>
      <c r="H9" s="4"/>
    </row>
    <row r="10" spans="1:8">
      <c r="A10" s="3"/>
      <c r="B10" s="3"/>
      <c r="C10" s="4" t="s">
        <v>22</v>
      </c>
      <c r="D10" s="4" t="s">
        <v>23</v>
      </c>
      <c r="G10" s="4" t="s">
        <v>24</v>
      </c>
      <c r="H10" s="4"/>
    </row>
    <row r="11" spans="1:8">
      <c r="A11" s="3"/>
      <c r="B11" s="3"/>
      <c r="D11" s="3" t="s">
        <v>25</v>
      </c>
      <c r="E11" s="4" t="s">
        <v>26</v>
      </c>
      <c r="G11" s="4" t="s">
        <v>27</v>
      </c>
      <c r="H11" s="4"/>
    </row>
    <row r="12" spans="1:8">
      <c r="A12" s="3"/>
      <c r="B12" s="3"/>
      <c r="D12" s="3" t="s">
        <v>28</v>
      </c>
      <c r="E12" s="4" t="s">
        <v>29</v>
      </c>
      <c r="G12" s="4" t="s">
        <v>30</v>
      </c>
      <c r="H12" s="4"/>
    </row>
    <row r="13" spans="1:8">
      <c r="A13" s="3"/>
      <c r="B13" s="3"/>
      <c r="D13" s="3" t="s">
        <v>31</v>
      </c>
      <c r="E13" s="4" t="s">
        <v>32</v>
      </c>
      <c r="G13" s="4" t="s">
        <v>33</v>
      </c>
      <c r="H13" s="4"/>
    </row>
    <row r="14" spans="1:8">
      <c r="A14" s="3"/>
      <c r="B14" s="3"/>
      <c r="D14" s="3" t="s">
        <v>34</v>
      </c>
      <c r="E14" s="4" t="s">
        <v>35</v>
      </c>
      <c r="G14" s="4" t="s">
        <v>36</v>
      </c>
      <c r="H14" s="4"/>
    </row>
    <row r="15" spans="1:8">
      <c r="A15" s="3"/>
      <c r="B15" s="3">
        <v>1.3</v>
      </c>
      <c r="C15" s="4" t="s">
        <v>37</v>
      </c>
    </row>
    <row r="16" spans="1:8">
      <c r="A16" s="3"/>
      <c r="B16" s="3"/>
      <c r="C16" s="4" t="s">
        <v>38</v>
      </c>
      <c r="D16" s="4" t="s">
        <v>39</v>
      </c>
    </row>
    <row r="17" spans="1:8">
      <c r="A17" s="3"/>
      <c r="B17" s="3"/>
      <c r="D17" s="3" t="s">
        <v>40</v>
      </c>
      <c r="E17" s="4" t="s">
        <v>41</v>
      </c>
      <c r="G17" s="4" t="s">
        <v>42</v>
      </c>
      <c r="H17" s="4"/>
    </row>
    <row r="18" spans="1:8">
      <c r="A18" s="3"/>
      <c r="B18" s="3"/>
      <c r="D18" s="3" t="s">
        <v>43</v>
      </c>
      <c r="E18" s="4" t="s">
        <v>44</v>
      </c>
      <c r="G18" s="4" t="s">
        <v>45</v>
      </c>
      <c r="H18" s="4"/>
    </row>
    <row r="19" spans="1:8">
      <c r="A19" s="3"/>
      <c r="B19" s="3"/>
      <c r="D19" s="3" t="s">
        <v>46</v>
      </c>
      <c r="E19" s="4" t="s">
        <v>47</v>
      </c>
      <c r="G19" s="4" t="s">
        <v>48</v>
      </c>
      <c r="H19" s="4"/>
    </row>
    <row r="20" spans="1:8">
      <c r="A20" s="3"/>
      <c r="B20" s="3"/>
      <c r="D20" s="3" t="s">
        <v>49</v>
      </c>
      <c r="E20" s="4" t="s">
        <v>50</v>
      </c>
      <c r="G20" s="4" t="s">
        <v>51</v>
      </c>
      <c r="H20" s="4"/>
    </row>
    <row r="21" spans="1:8">
      <c r="A21" s="3"/>
      <c r="B21" s="3"/>
      <c r="D21" s="3" t="s">
        <v>52</v>
      </c>
      <c r="E21" s="4" t="s">
        <v>53</v>
      </c>
      <c r="G21" s="4" t="s">
        <v>54</v>
      </c>
      <c r="H21" s="4"/>
    </row>
    <row r="22" spans="1:8">
      <c r="A22" s="3"/>
      <c r="B22" s="3"/>
      <c r="D22" s="3" t="s">
        <v>55</v>
      </c>
      <c r="E22" s="4" t="s">
        <v>56</v>
      </c>
      <c r="G22" s="4" t="s">
        <v>57</v>
      </c>
      <c r="H22" s="4"/>
    </row>
    <row r="23" spans="1:8">
      <c r="A23" s="3"/>
      <c r="B23" s="3"/>
      <c r="C23" s="4" t="s">
        <v>58</v>
      </c>
      <c r="D23" s="4" t="s">
        <v>59</v>
      </c>
    </row>
    <row r="24" spans="1:8">
      <c r="A24" s="3"/>
      <c r="B24" s="3"/>
      <c r="D24" s="3" t="s">
        <v>60</v>
      </c>
      <c r="E24" s="4" t="s">
        <v>61</v>
      </c>
      <c r="G24" s="4" t="s">
        <v>62</v>
      </c>
      <c r="H24" s="4"/>
    </row>
    <row r="25" spans="1:8">
      <c r="A25" s="3"/>
      <c r="B25" s="3"/>
      <c r="D25" s="3" t="s">
        <v>63</v>
      </c>
      <c r="E25" s="4" t="s">
        <v>64</v>
      </c>
      <c r="G25" s="4" t="s">
        <v>65</v>
      </c>
      <c r="H25" s="4"/>
    </row>
    <row r="26" spans="1:8">
      <c r="A26" s="3"/>
      <c r="B26" s="3"/>
      <c r="D26" s="3"/>
      <c r="E26" s="3" t="s">
        <v>66</v>
      </c>
      <c r="F26" s="4" t="s">
        <v>67</v>
      </c>
      <c r="G26" s="4" t="s">
        <v>68</v>
      </c>
      <c r="H26" s="4"/>
    </row>
    <row r="27" spans="1:8">
      <c r="A27" s="3"/>
      <c r="B27" s="3"/>
      <c r="D27" s="3"/>
      <c r="E27" s="3" t="s">
        <v>69</v>
      </c>
      <c r="F27" s="4" t="s">
        <v>70</v>
      </c>
      <c r="G27" s="4" t="s">
        <v>71</v>
      </c>
      <c r="H27" s="4"/>
    </row>
    <row r="28" spans="1:8">
      <c r="A28" s="3"/>
      <c r="B28" s="3"/>
      <c r="D28" s="3" t="s">
        <v>72</v>
      </c>
      <c r="E28" s="4" t="s">
        <v>73</v>
      </c>
      <c r="G28" s="4" t="s">
        <v>74</v>
      </c>
      <c r="H28" s="4"/>
    </row>
    <row r="29" spans="1:8">
      <c r="A29" s="3"/>
      <c r="B29" s="3"/>
      <c r="C29" s="4"/>
      <c r="D29" s="4"/>
      <c r="E29" s="3" t="s">
        <v>75</v>
      </c>
      <c r="F29" s="4" t="s">
        <v>76</v>
      </c>
      <c r="G29" s="4" t="s">
        <v>77</v>
      </c>
      <c r="H29" s="4"/>
    </row>
    <row r="30" spans="1:8">
      <c r="A30" s="3"/>
      <c r="B30" s="3"/>
      <c r="C30" s="4"/>
      <c r="D30" s="4"/>
      <c r="E30" s="3" t="s">
        <v>78</v>
      </c>
      <c r="F30" s="4" t="s">
        <v>79</v>
      </c>
      <c r="G30" s="4" t="s">
        <v>80</v>
      </c>
      <c r="H30" s="4"/>
    </row>
    <row r="31" spans="1:8">
      <c r="A31" s="3"/>
      <c r="B31" s="3"/>
      <c r="C31" s="4" t="s">
        <v>81</v>
      </c>
      <c r="D31" s="4" t="s">
        <v>82</v>
      </c>
    </row>
    <row r="32" spans="1:8">
      <c r="A32" s="3"/>
      <c r="B32" s="3"/>
      <c r="D32" s="3" t="s">
        <v>83</v>
      </c>
      <c r="E32" s="4" t="s">
        <v>84</v>
      </c>
      <c r="G32" s="4" t="s">
        <v>85</v>
      </c>
      <c r="H32" s="4"/>
    </row>
    <row r="33" spans="1:8">
      <c r="A33" s="3"/>
      <c r="B33" s="3"/>
      <c r="D33" s="3" t="s">
        <v>86</v>
      </c>
      <c r="E33" s="4" t="s">
        <v>87</v>
      </c>
      <c r="G33" s="4" t="s">
        <v>88</v>
      </c>
      <c r="H33" s="4"/>
    </row>
    <row r="34" spans="1:8">
      <c r="A34" s="3"/>
      <c r="B34" s="3"/>
      <c r="D34" s="3" t="s">
        <v>89</v>
      </c>
      <c r="E34" s="4" t="s">
        <v>90</v>
      </c>
      <c r="G34" s="4" t="s">
        <v>91</v>
      </c>
      <c r="H34" s="4"/>
    </row>
    <row r="35" spans="1:8">
      <c r="A35" s="3"/>
      <c r="B35" s="3"/>
      <c r="D35" s="3" t="s">
        <v>92</v>
      </c>
      <c r="E35" s="4" t="s">
        <v>93</v>
      </c>
      <c r="G35" s="4" t="s">
        <v>94</v>
      </c>
      <c r="H35" s="4"/>
    </row>
    <row r="36" spans="1:8">
      <c r="A36" s="3"/>
      <c r="B36" s="3"/>
      <c r="D36" s="3" t="s">
        <v>95</v>
      </c>
      <c r="E36" s="4" t="s">
        <v>96</v>
      </c>
      <c r="G36" s="4" t="s">
        <v>97</v>
      </c>
      <c r="H36" s="4"/>
    </row>
    <row r="37" spans="1:8">
      <c r="A37" s="3"/>
      <c r="B37" s="3"/>
      <c r="D37" s="3" t="s">
        <v>98</v>
      </c>
      <c r="E37" s="4" t="s">
        <v>99</v>
      </c>
      <c r="G37" s="4" t="s">
        <v>100</v>
      </c>
      <c r="H37" s="4"/>
    </row>
    <row r="38" spans="1:8">
      <c r="A38" s="3"/>
      <c r="B38" s="3">
        <v>1.4</v>
      </c>
      <c r="C38" s="4" t="s">
        <v>101</v>
      </c>
    </row>
    <row r="39" spans="1:8">
      <c r="A39" s="3"/>
      <c r="B39" s="3"/>
      <c r="C39" s="4" t="s">
        <v>102</v>
      </c>
      <c r="D39" s="4" t="s">
        <v>103</v>
      </c>
      <c r="G39" s="4" t="s">
        <v>104</v>
      </c>
      <c r="H39" s="4"/>
    </row>
    <row r="40" spans="1:8">
      <c r="A40" s="3"/>
      <c r="B40" s="3"/>
      <c r="D40" s="3" t="s">
        <v>105</v>
      </c>
      <c r="E40" s="4" t="s">
        <v>106</v>
      </c>
      <c r="G40" s="4" t="s">
        <v>107</v>
      </c>
      <c r="H40" s="4"/>
    </row>
    <row r="41" spans="1:8">
      <c r="A41" s="3"/>
      <c r="B41" s="3"/>
      <c r="D41" s="3" t="s">
        <v>108</v>
      </c>
      <c r="E41" s="4" t="s">
        <v>109</v>
      </c>
      <c r="G41" s="4" t="s">
        <v>110</v>
      </c>
      <c r="H41" s="4"/>
    </row>
    <row r="42" spans="1:8">
      <c r="A42" s="3"/>
      <c r="B42" s="3"/>
      <c r="C42" s="4" t="s">
        <v>111</v>
      </c>
      <c r="D42" s="4" t="s">
        <v>112</v>
      </c>
      <c r="G42" s="4" t="s">
        <v>113</v>
      </c>
      <c r="H42" s="4"/>
    </row>
    <row r="43" spans="1:8">
      <c r="A43" s="3"/>
      <c r="B43" s="3"/>
      <c r="D43" s="3" t="s">
        <v>114</v>
      </c>
      <c r="E43" s="4" t="s">
        <v>115</v>
      </c>
      <c r="G43" s="4" t="s">
        <v>116</v>
      </c>
      <c r="H43" s="4"/>
    </row>
    <row r="44" spans="1:8">
      <c r="A44" s="3"/>
      <c r="B44" s="3"/>
      <c r="D44" s="3" t="s">
        <v>117</v>
      </c>
      <c r="E44" s="4" t="s">
        <v>118</v>
      </c>
      <c r="G44" s="4" t="s">
        <v>119</v>
      </c>
      <c r="H44" s="4"/>
    </row>
    <row r="45" spans="1:8">
      <c r="A45" s="3"/>
      <c r="B45" s="3"/>
      <c r="D45" s="3" t="s">
        <v>120</v>
      </c>
      <c r="E45" s="4" t="s">
        <v>121</v>
      </c>
      <c r="G45" s="4" t="s">
        <v>122</v>
      </c>
      <c r="H45" s="4"/>
    </row>
    <row r="46" spans="1:8">
      <c r="A46" s="3"/>
      <c r="B46" s="3">
        <v>1.5</v>
      </c>
      <c r="C46" s="4" t="s">
        <v>123</v>
      </c>
      <c r="D46" s="3"/>
    </row>
    <row r="47" spans="1:8">
      <c r="A47" s="3"/>
      <c r="B47" s="3"/>
      <c r="C47" s="4" t="s">
        <v>124</v>
      </c>
      <c r="D47" s="3" t="s">
        <v>125</v>
      </c>
      <c r="G47" s="4" t="s">
        <v>126</v>
      </c>
      <c r="H47" s="4"/>
    </row>
    <row r="48" spans="1:8">
      <c r="A48" s="3"/>
      <c r="B48" s="3"/>
      <c r="D48" s="3" t="s">
        <v>127</v>
      </c>
      <c r="E48" s="4" t="s">
        <v>128</v>
      </c>
      <c r="G48" s="4" t="s">
        <v>129</v>
      </c>
      <c r="H48" s="4"/>
    </row>
    <row r="49" spans="1:8">
      <c r="A49" s="3"/>
      <c r="B49" s="3"/>
      <c r="D49" s="3" t="s">
        <v>130</v>
      </c>
      <c r="E49" s="4" t="s">
        <v>131</v>
      </c>
      <c r="G49" s="4" t="s">
        <v>132</v>
      </c>
      <c r="H49" s="4"/>
    </row>
    <row r="50" spans="1:8">
      <c r="A50" s="3"/>
      <c r="B50" s="3"/>
      <c r="D50" s="3" t="s">
        <v>133</v>
      </c>
      <c r="E50" s="4" t="s">
        <v>134</v>
      </c>
      <c r="G50" s="4" t="s">
        <v>135</v>
      </c>
      <c r="H50" s="4"/>
    </row>
    <row r="51" spans="1:8">
      <c r="A51" s="3"/>
      <c r="B51" s="3"/>
      <c r="C51" s="4" t="s">
        <v>136</v>
      </c>
      <c r="D51" s="5" t="s">
        <v>137</v>
      </c>
      <c r="G51" s="4" t="s">
        <v>138</v>
      </c>
      <c r="H51" s="4"/>
    </row>
    <row r="52" spans="1:8">
      <c r="A52" s="3"/>
      <c r="D52" s="3" t="s">
        <v>139</v>
      </c>
      <c r="E52" s="4" t="s">
        <v>140</v>
      </c>
      <c r="G52" s="4" t="s">
        <v>141</v>
      </c>
      <c r="H52" s="4"/>
    </row>
    <row r="53" spans="1:8">
      <c r="A53" s="3"/>
      <c r="C53" s="4" t="s">
        <v>142</v>
      </c>
      <c r="D53" s="5" t="s">
        <v>143</v>
      </c>
      <c r="G53" s="4" t="s">
        <v>144</v>
      </c>
      <c r="H53" s="4"/>
    </row>
    <row r="54" spans="1:8">
      <c r="A54" s="3"/>
      <c r="D54" s="3" t="s">
        <v>145</v>
      </c>
      <c r="E54" s="4" t="s">
        <v>146</v>
      </c>
      <c r="G54" s="4" t="s">
        <v>147</v>
      </c>
      <c r="H54" s="4"/>
    </row>
    <row r="55" spans="1:8">
      <c r="A55" s="3"/>
      <c r="C55" s="4" t="s">
        <v>148</v>
      </c>
      <c r="D55" s="3" t="s">
        <v>149</v>
      </c>
      <c r="G55" s="4" t="s">
        <v>150</v>
      </c>
      <c r="H55" s="4"/>
    </row>
    <row r="56" spans="1:8">
      <c r="A56" s="3"/>
      <c r="D56" s="3" t="s">
        <v>151</v>
      </c>
      <c r="E56" s="4" t="s">
        <v>152</v>
      </c>
      <c r="G56" s="4" t="s">
        <v>153</v>
      </c>
      <c r="H56" s="4"/>
    </row>
    <row r="57" spans="1:8">
      <c r="A57" s="3"/>
      <c r="D57" s="3" t="s">
        <v>154</v>
      </c>
      <c r="E57" s="4" t="s">
        <v>155</v>
      </c>
      <c r="G57" s="4" t="s">
        <v>156</v>
      </c>
      <c r="H57" s="4"/>
    </row>
    <row r="58" spans="1:8">
      <c r="A58" s="3"/>
      <c r="C58" s="6" t="s">
        <v>157</v>
      </c>
      <c r="D58" s="7" t="s">
        <v>158</v>
      </c>
      <c r="E58" s="6"/>
      <c r="F58" s="6"/>
      <c r="G58" s="6" t="s">
        <v>159</v>
      </c>
      <c r="H58" s="6"/>
    </row>
    <row r="59" spans="1:8">
      <c r="A59" s="3"/>
      <c r="D59" s="3" t="s">
        <v>160</v>
      </c>
      <c r="E59" s="4" t="s">
        <v>161</v>
      </c>
      <c r="G59" s="4" t="s">
        <v>162</v>
      </c>
      <c r="H59" s="4"/>
    </row>
    <row r="60" spans="1:8">
      <c r="A60" s="3"/>
      <c r="D60" s="3" t="s">
        <v>163</v>
      </c>
      <c r="E60" s="4" t="s">
        <v>164</v>
      </c>
      <c r="G60" s="4" t="s">
        <v>165</v>
      </c>
      <c r="H60" s="4"/>
    </row>
    <row r="61" spans="1:8">
      <c r="A61" s="3"/>
      <c r="B61" s="4">
        <v>1.6</v>
      </c>
      <c r="C61" s="4" t="s">
        <v>166</v>
      </c>
      <c r="D61" s="3"/>
    </row>
    <row r="62" spans="1:8">
      <c r="A62" s="3"/>
      <c r="C62" s="4" t="s">
        <v>167</v>
      </c>
      <c r="D62" s="4" t="s">
        <v>168</v>
      </c>
      <c r="G62" s="4" t="s">
        <v>168</v>
      </c>
      <c r="H62" s="4"/>
    </row>
    <row r="63" spans="1:8">
      <c r="A63" s="3"/>
      <c r="D63" s="3" t="s">
        <v>169</v>
      </c>
      <c r="E63" s="4" t="s">
        <v>170</v>
      </c>
      <c r="G63" s="4" t="s">
        <v>171</v>
      </c>
      <c r="H63" s="4"/>
    </row>
    <row r="64" spans="1:8">
      <c r="A64" s="3"/>
      <c r="D64" s="3" t="s">
        <v>172</v>
      </c>
      <c r="E64" s="4" t="s">
        <v>173</v>
      </c>
      <c r="G64" s="4" t="s">
        <v>174</v>
      </c>
      <c r="H64" s="4"/>
    </row>
    <row r="65" spans="1:8">
      <c r="A65" s="3"/>
      <c r="D65" s="3" t="s">
        <v>175</v>
      </c>
      <c r="E65" s="4" t="s">
        <v>176</v>
      </c>
      <c r="G65" s="4" t="s">
        <v>177</v>
      </c>
      <c r="H65" s="4"/>
    </row>
    <row r="66" spans="1:8">
      <c r="A66" s="3"/>
      <c r="D66" s="3" t="s">
        <v>178</v>
      </c>
      <c r="E66" s="4" t="s">
        <v>179</v>
      </c>
      <c r="G66" s="4" t="s">
        <v>180</v>
      </c>
      <c r="H66" s="4"/>
    </row>
    <row r="67" spans="1:8">
      <c r="A67" s="3"/>
      <c r="B67" s="4">
        <v>1.7</v>
      </c>
      <c r="C67" s="4" t="s">
        <v>181</v>
      </c>
    </row>
    <row r="68" spans="1:8">
      <c r="A68" s="3"/>
      <c r="C68" s="4" t="s">
        <v>182</v>
      </c>
      <c r="D68" s="4" t="s">
        <v>183</v>
      </c>
      <c r="G68" s="4" t="s">
        <v>184</v>
      </c>
      <c r="H68" s="4"/>
    </row>
    <row r="69" spans="1:8">
      <c r="A69" s="3"/>
      <c r="D69" s="3" t="s">
        <v>185</v>
      </c>
      <c r="E69" s="4" t="s">
        <v>186</v>
      </c>
      <c r="G69" s="4" t="s">
        <v>187</v>
      </c>
      <c r="H69" s="4"/>
    </row>
    <row r="70" spans="1:8">
      <c r="A70" s="3"/>
      <c r="C70" s="4" t="s">
        <v>188</v>
      </c>
      <c r="D70" s="4" t="s">
        <v>189</v>
      </c>
      <c r="G70" s="4" t="s">
        <v>190</v>
      </c>
    </row>
    <row r="71" spans="1:8">
      <c r="A71" s="3"/>
      <c r="D71" s="3" t="s">
        <v>191</v>
      </c>
      <c r="E71" s="4" t="s">
        <v>192</v>
      </c>
      <c r="G71" s="4" t="s">
        <v>193</v>
      </c>
      <c r="H71" s="4"/>
    </row>
    <row r="72" spans="1:8">
      <c r="A72" s="3"/>
      <c r="C72" s="4" t="s">
        <v>194</v>
      </c>
      <c r="D72" s="4" t="s">
        <v>195</v>
      </c>
      <c r="G72" s="4" t="s">
        <v>196</v>
      </c>
      <c r="H72" s="4"/>
    </row>
    <row r="73" spans="1:8">
      <c r="A73" s="3"/>
      <c r="D73" s="3" t="s">
        <v>197</v>
      </c>
      <c r="E73" s="4" t="s">
        <v>198</v>
      </c>
      <c r="G73" s="4" t="s">
        <v>199</v>
      </c>
      <c r="H73" s="4"/>
    </row>
    <row r="74" spans="1:8">
      <c r="A74" s="3"/>
      <c r="D74" s="3" t="s">
        <v>200</v>
      </c>
      <c r="E74" s="4" t="s">
        <v>201</v>
      </c>
      <c r="G74" s="4" t="s">
        <v>202</v>
      </c>
      <c r="H74" s="4"/>
    </row>
    <row r="75" spans="1:8">
      <c r="A75" s="3"/>
      <c r="D75" s="3"/>
      <c r="E75" s="4"/>
      <c r="G75" s="4">
        <f>COUNTA(G3:G74)</f>
        <v>63</v>
      </c>
      <c r="H75" s="4"/>
    </row>
    <row r="76" spans="1:8">
      <c r="A76" s="3">
        <v>2</v>
      </c>
      <c r="B76" s="4" t="s">
        <v>203</v>
      </c>
      <c r="G76" s="8"/>
    </row>
    <row r="77" spans="1:8">
      <c r="A77" s="3"/>
      <c r="B77" s="3">
        <v>2.1</v>
      </c>
      <c r="C77" s="4" t="s">
        <v>204</v>
      </c>
    </row>
    <row r="78" spans="1:8">
      <c r="A78" s="3"/>
      <c r="B78" s="3"/>
      <c r="C78" s="4" t="s">
        <v>205</v>
      </c>
      <c r="D78" s="4" t="s">
        <v>206</v>
      </c>
      <c r="G78" s="4" t="s">
        <v>207</v>
      </c>
      <c r="H78" s="4"/>
    </row>
    <row r="79" spans="1:8">
      <c r="A79" s="3"/>
      <c r="B79" s="3"/>
      <c r="D79" s="3" t="s">
        <v>208</v>
      </c>
      <c r="E79" s="5" t="s">
        <v>209</v>
      </c>
      <c r="G79" s="4" t="s">
        <v>65</v>
      </c>
      <c r="H79" s="4"/>
    </row>
    <row r="80" spans="1:8">
      <c r="A80" s="3"/>
      <c r="B80" s="3"/>
      <c r="D80" s="3" t="s">
        <v>210</v>
      </c>
      <c r="E80" s="5" t="s">
        <v>211</v>
      </c>
      <c r="G80" s="4" t="s">
        <v>74</v>
      </c>
      <c r="H80" s="4"/>
    </row>
    <row r="81" spans="1:8">
      <c r="A81" s="3"/>
      <c r="B81" s="3"/>
      <c r="C81" s="4" t="s">
        <v>212</v>
      </c>
      <c r="D81" s="4" t="s">
        <v>213</v>
      </c>
      <c r="E81" s="3"/>
    </row>
    <row r="82" spans="1:8">
      <c r="A82" s="3"/>
      <c r="B82" s="3"/>
      <c r="D82" s="3" t="s">
        <v>214</v>
      </c>
      <c r="E82" s="5" t="s">
        <v>215</v>
      </c>
      <c r="G82" s="4" t="s">
        <v>216</v>
      </c>
      <c r="H82" s="4"/>
    </row>
    <row r="83" spans="1:8">
      <c r="A83" s="3"/>
      <c r="B83" s="3"/>
      <c r="D83" s="3" t="s">
        <v>217</v>
      </c>
      <c r="E83" s="5" t="s">
        <v>218</v>
      </c>
      <c r="G83" s="4" t="s">
        <v>219</v>
      </c>
      <c r="H83" s="4"/>
    </row>
    <row r="84" spans="1:8">
      <c r="A84" s="3"/>
      <c r="B84" s="3"/>
      <c r="D84" s="3" t="s">
        <v>220</v>
      </c>
      <c r="E84" s="5" t="s">
        <v>221</v>
      </c>
      <c r="G84" s="4" t="s">
        <v>222</v>
      </c>
      <c r="H84" s="4"/>
    </row>
    <row r="85" spans="1:8">
      <c r="A85" s="3"/>
      <c r="B85" s="3"/>
      <c r="D85" s="3" t="s">
        <v>223</v>
      </c>
      <c r="E85" s="5" t="s">
        <v>224</v>
      </c>
      <c r="G85" s="4" t="s">
        <v>225</v>
      </c>
      <c r="H85" s="4"/>
    </row>
    <row r="86" spans="1:8">
      <c r="A86" s="3"/>
      <c r="B86" s="3"/>
      <c r="C86" s="4" t="s">
        <v>226</v>
      </c>
      <c r="D86" s="5" t="s">
        <v>227</v>
      </c>
      <c r="E86" s="3"/>
    </row>
    <row r="87" spans="1:8">
      <c r="A87" s="3"/>
      <c r="B87" s="3"/>
      <c r="D87" s="3" t="s">
        <v>228</v>
      </c>
      <c r="E87" s="5" t="s">
        <v>14</v>
      </c>
    </row>
    <row r="88" spans="1:8">
      <c r="A88" s="3"/>
      <c r="B88" s="3"/>
      <c r="E88" s="3" t="s">
        <v>229</v>
      </c>
      <c r="F88" s="5" t="s">
        <v>230</v>
      </c>
      <c r="G88" s="4" t="s">
        <v>231</v>
      </c>
      <c r="H88" s="4"/>
    </row>
    <row r="89" spans="1:8">
      <c r="A89" s="3"/>
      <c r="B89" s="3"/>
      <c r="D89" s="3"/>
      <c r="E89" s="3" t="s">
        <v>232</v>
      </c>
      <c r="F89" s="5" t="s">
        <v>233</v>
      </c>
      <c r="G89" s="4" t="s">
        <v>234</v>
      </c>
      <c r="H89" s="4"/>
    </row>
    <row r="90" spans="1:8">
      <c r="A90" s="3"/>
      <c r="B90" s="3"/>
      <c r="D90" s="3"/>
      <c r="E90" s="3" t="s">
        <v>235</v>
      </c>
      <c r="F90" s="5" t="s">
        <v>236</v>
      </c>
      <c r="G90" s="4" t="s">
        <v>237</v>
      </c>
      <c r="H90" s="4"/>
    </row>
    <row r="91" spans="1:8">
      <c r="A91" s="3"/>
      <c r="B91" s="3"/>
      <c r="D91" s="3" t="s">
        <v>238</v>
      </c>
      <c r="E91" s="5" t="s">
        <v>239</v>
      </c>
    </row>
    <row r="92" spans="1:8">
      <c r="A92" s="3"/>
      <c r="B92" s="3"/>
      <c r="D92" s="3"/>
      <c r="E92" s="3" t="s">
        <v>240</v>
      </c>
      <c r="F92" s="4" t="s">
        <v>241</v>
      </c>
      <c r="G92" s="4" t="s">
        <v>242</v>
      </c>
      <c r="H92" s="4"/>
    </row>
    <row r="93" spans="1:8">
      <c r="A93" s="3"/>
      <c r="B93" s="3"/>
      <c r="D93" s="3"/>
      <c r="E93" s="3" t="s">
        <v>243</v>
      </c>
      <c r="F93" s="4" t="s">
        <v>244</v>
      </c>
      <c r="G93" s="4" t="s">
        <v>245</v>
      </c>
      <c r="H93" s="4"/>
    </row>
    <row r="94" spans="1:8">
      <c r="A94" s="3"/>
      <c r="B94" s="3">
        <v>2.2000000000000002</v>
      </c>
      <c r="C94" s="4" t="s">
        <v>246</v>
      </c>
      <c r="D94" s="3"/>
      <c r="E94" s="3"/>
    </row>
    <row r="95" spans="1:8">
      <c r="A95" s="3"/>
      <c r="B95" s="3"/>
      <c r="C95" s="4" t="s">
        <v>247</v>
      </c>
      <c r="D95" s="5" t="s">
        <v>248</v>
      </c>
      <c r="E95" s="3"/>
    </row>
    <row r="96" spans="1:8">
      <c r="A96" s="3"/>
      <c r="B96" s="3"/>
      <c r="D96" s="3" t="s">
        <v>249</v>
      </c>
      <c r="E96" s="5" t="s">
        <v>250</v>
      </c>
      <c r="G96" s="4" t="s">
        <v>251</v>
      </c>
      <c r="H96" s="4"/>
    </row>
    <row r="97" spans="1:8">
      <c r="A97" s="3"/>
      <c r="B97" s="3"/>
      <c r="D97" s="3" t="s">
        <v>252</v>
      </c>
      <c r="E97" s="5" t="s">
        <v>253</v>
      </c>
      <c r="G97" s="4" t="s">
        <v>254</v>
      </c>
      <c r="H97" s="4"/>
    </row>
    <row r="98" spans="1:8">
      <c r="A98" s="3"/>
      <c r="B98" s="3"/>
      <c r="C98" s="4" t="s">
        <v>255</v>
      </c>
      <c r="D98" s="5" t="s">
        <v>256</v>
      </c>
    </row>
    <row r="99" spans="1:8">
      <c r="A99" s="3"/>
      <c r="B99" s="3"/>
      <c r="D99" s="3" t="s">
        <v>257</v>
      </c>
      <c r="E99" s="4" t="s">
        <v>258</v>
      </c>
      <c r="G99" s="4" t="s">
        <v>259</v>
      </c>
      <c r="H99" s="4"/>
    </row>
    <row r="100" spans="1:8">
      <c r="A100" s="3"/>
      <c r="B100" s="3"/>
      <c r="D100" s="3" t="s">
        <v>260</v>
      </c>
      <c r="E100" s="4" t="s">
        <v>261</v>
      </c>
      <c r="G100" s="4" t="s">
        <v>259</v>
      </c>
      <c r="H100" s="4"/>
    </row>
    <row r="101" spans="1:8">
      <c r="A101" s="3"/>
      <c r="B101" s="3"/>
      <c r="D101" s="3" t="s">
        <v>262</v>
      </c>
      <c r="E101" s="4" t="s">
        <v>263</v>
      </c>
      <c r="G101" s="4" t="s">
        <v>264</v>
      </c>
      <c r="H101" s="4"/>
    </row>
    <row r="102" spans="1:8">
      <c r="A102" s="3"/>
      <c r="B102" s="3"/>
      <c r="C102" s="4" t="s">
        <v>265</v>
      </c>
      <c r="D102" s="5" t="s">
        <v>266</v>
      </c>
    </row>
    <row r="103" spans="1:8">
      <c r="A103" s="3"/>
      <c r="B103" s="3"/>
      <c r="D103" s="3" t="s">
        <v>267</v>
      </c>
      <c r="E103" s="5" t="s">
        <v>268</v>
      </c>
    </row>
    <row r="104" spans="1:8">
      <c r="A104" s="3"/>
      <c r="B104" s="3"/>
      <c r="D104" s="3"/>
      <c r="E104" s="4" t="s">
        <v>269</v>
      </c>
      <c r="F104" s="4" t="s">
        <v>270</v>
      </c>
      <c r="G104" s="4" t="s">
        <v>271</v>
      </c>
      <c r="H104" s="4"/>
    </row>
    <row r="105" spans="1:8">
      <c r="A105" s="3"/>
      <c r="B105" s="3"/>
      <c r="D105" s="3"/>
      <c r="E105" s="4" t="s">
        <v>272</v>
      </c>
      <c r="F105" s="4" t="s">
        <v>273</v>
      </c>
      <c r="G105" s="4" t="s">
        <v>274</v>
      </c>
      <c r="H105" s="4"/>
    </row>
    <row r="106" spans="1:8">
      <c r="A106" s="3"/>
      <c r="B106" s="3"/>
      <c r="D106" s="3"/>
      <c r="E106" s="4" t="s">
        <v>275</v>
      </c>
      <c r="F106" s="4" t="s">
        <v>276</v>
      </c>
      <c r="G106" s="4" t="s">
        <v>277</v>
      </c>
      <c r="H106" s="4"/>
    </row>
    <row r="107" spans="1:8">
      <c r="A107" s="3"/>
      <c r="B107" s="3"/>
      <c r="D107" s="3"/>
      <c r="E107" s="4" t="s">
        <v>278</v>
      </c>
      <c r="F107" s="4" t="s">
        <v>279</v>
      </c>
      <c r="G107" s="4" t="s">
        <v>280</v>
      </c>
      <c r="H107" s="4"/>
    </row>
    <row r="108" spans="1:8">
      <c r="A108" s="3"/>
      <c r="B108" s="3"/>
      <c r="D108" s="3" t="s">
        <v>281</v>
      </c>
      <c r="E108" s="5" t="s">
        <v>282</v>
      </c>
    </row>
    <row r="109" spans="1:8">
      <c r="A109" s="3"/>
      <c r="B109" s="3"/>
      <c r="D109" s="3"/>
      <c r="E109" s="3" t="s">
        <v>283</v>
      </c>
      <c r="F109" s="4" t="s">
        <v>284</v>
      </c>
      <c r="G109" s="4" t="s">
        <v>285</v>
      </c>
      <c r="H109" s="4"/>
    </row>
    <row r="110" spans="1:8">
      <c r="A110" s="3"/>
      <c r="B110" s="3"/>
      <c r="D110" s="3"/>
      <c r="E110" s="3" t="s">
        <v>286</v>
      </c>
      <c r="F110" s="4" t="s">
        <v>287</v>
      </c>
      <c r="G110" s="4" t="s">
        <v>288</v>
      </c>
      <c r="H110" s="4"/>
    </row>
    <row r="111" spans="1:8">
      <c r="A111" s="3"/>
      <c r="B111" s="3"/>
      <c r="D111" s="3"/>
      <c r="E111" s="3" t="s">
        <v>289</v>
      </c>
      <c r="F111" s="4" t="s">
        <v>290</v>
      </c>
      <c r="G111" s="4" t="s">
        <v>291</v>
      </c>
      <c r="H111" s="4"/>
    </row>
    <row r="112" spans="1:8">
      <c r="A112" s="3"/>
      <c r="B112" s="3"/>
      <c r="D112" s="3"/>
      <c r="E112" s="3" t="s">
        <v>292</v>
      </c>
      <c r="F112" s="4" t="s">
        <v>293</v>
      </c>
      <c r="G112" s="4" t="s">
        <v>294</v>
      </c>
      <c r="H112" s="4"/>
    </row>
    <row r="113" spans="1:8">
      <c r="A113" s="3"/>
      <c r="B113" s="3"/>
      <c r="D113" s="3"/>
      <c r="E113" s="3" t="s">
        <v>295</v>
      </c>
      <c r="F113" s="4" t="s">
        <v>296</v>
      </c>
      <c r="G113" s="4" t="s">
        <v>297</v>
      </c>
      <c r="H113" s="4"/>
    </row>
    <row r="114" spans="1:8">
      <c r="A114" s="3"/>
      <c r="B114" s="3"/>
      <c r="D114" s="3"/>
      <c r="E114" s="3" t="s">
        <v>298</v>
      </c>
      <c r="F114" s="4" t="s">
        <v>299</v>
      </c>
      <c r="G114" s="4" t="s">
        <v>300</v>
      </c>
      <c r="H114" s="4"/>
    </row>
    <row r="115" spans="1:8">
      <c r="A115" s="3"/>
      <c r="B115" s="3">
        <v>2.2999999999999998</v>
      </c>
      <c r="C115" s="4" t="s">
        <v>301</v>
      </c>
      <c r="D115" s="3"/>
      <c r="E115" s="3"/>
    </row>
    <row r="116" spans="1:8">
      <c r="A116" s="3"/>
      <c r="B116" s="3"/>
      <c r="C116" s="4" t="s">
        <v>302</v>
      </c>
      <c r="D116" s="5" t="s">
        <v>303</v>
      </c>
    </row>
    <row r="117" spans="1:8">
      <c r="A117" s="3"/>
      <c r="B117" s="3"/>
      <c r="D117" s="3" t="s">
        <v>304</v>
      </c>
      <c r="E117" s="4" t="s">
        <v>305</v>
      </c>
      <c r="G117" s="4" t="s">
        <v>306</v>
      </c>
      <c r="H117" s="4"/>
    </row>
    <row r="118" spans="1:8">
      <c r="A118" s="3"/>
      <c r="B118" s="3"/>
      <c r="D118" s="3" t="s">
        <v>307</v>
      </c>
      <c r="E118" s="4" t="s">
        <v>308</v>
      </c>
    </row>
    <row r="119" spans="1:8">
      <c r="A119" s="3"/>
      <c r="B119" s="3"/>
      <c r="D119" s="3"/>
      <c r="E119" s="3" t="s">
        <v>309</v>
      </c>
      <c r="F119" s="4" t="s">
        <v>310</v>
      </c>
      <c r="G119" s="4" t="s">
        <v>311</v>
      </c>
      <c r="H119" s="4"/>
    </row>
    <row r="120" spans="1:8">
      <c r="A120" s="3"/>
      <c r="B120" s="3"/>
      <c r="D120" s="3"/>
      <c r="E120" s="3" t="s">
        <v>312</v>
      </c>
      <c r="F120" s="4" t="s">
        <v>313</v>
      </c>
      <c r="G120" s="4" t="s">
        <v>314</v>
      </c>
      <c r="H120" s="4"/>
    </row>
    <row r="121" spans="1:8">
      <c r="A121" s="3"/>
      <c r="B121" s="3"/>
      <c r="D121" s="3"/>
      <c r="E121" s="3" t="s">
        <v>315</v>
      </c>
      <c r="F121" s="4" t="s">
        <v>316</v>
      </c>
      <c r="G121" s="4" t="s">
        <v>317</v>
      </c>
      <c r="H121" s="4"/>
    </row>
    <row r="122" spans="1:8">
      <c r="A122" s="3"/>
      <c r="B122" s="3"/>
      <c r="D122" s="3" t="s">
        <v>318</v>
      </c>
      <c r="E122" s="4" t="s">
        <v>319</v>
      </c>
      <c r="G122" s="4" t="s">
        <v>320</v>
      </c>
      <c r="H122" s="4"/>
    </row>
    <row r="123" spans="1:8">
      <c r="A123" s="3"/>
      <c r="B123" s="3"/>
      <c r="D123" s="3" t="s">
        <v>321</v>
      </c>
      <c r="E123" s="4" t="s">
        <v>322</v>
      </c>
      <c r="G123" s="4" t="s">
        <v>323</v>
      </c>
      <c r="H123" s="4"/>
    </row>
    <row r="124" spans="1:8">
      <c r="A124" s="3"/>
      <c r="B124" s="3"/>
      <c r="D124" s="3" t="s">
        <v>324</v>
      </c>
      <c r="E124" s="4" t="s">
        <v>325</v>
      </c>
      <c r="G124" s="4" t="s">
        <v>326</v>
      </c>
      <c r="H124" s="4"/>
    </row>
    <row r="125" spans="1:8">
      <c r="A125" s="3"/>
      <c r="B125" s="3"/>
      <c r="D125" s="3" t="s">
        <v>327</v>
      </c>
      <c r="E125" s="4" t="s">
        <v>328</v>
      </c>
      <c r="G125" s="4" t="s">
        <v>329</v>
      </c>
      <c r="H125" s="4"/>
    </row>
    <row r="126" spans="1:8">
      <c r="A126" s="3"/>
      <c r="B126" s="3"/>
      <c r="D126" s="3" t="s">
        <v>330</v>
      </c>
      <c r="E126" s="4" t="s">
        <v>331</v>
      </c>
      <c r="G126" s="4" t="s">
        <v>332</v>
      </c>
      <c r="H126" s="4"/>
    </row>
    <row r="127" spans="1:8">
      <c r="A127" s="3"/>
      <c r="B127" s="3"/>
      <c r="C127" s="4" t="s">
        <v>333</v>
      </c>
      <c r="D127" s="5" t="s">
        <v>334</v>
      </c>
      <c r="G127" s="4" t="s">
        <v>335</v>
      </c>
      <c r="H127" s="4"/>
    </row>
    <row r="128" spans="1:8">
      <c r="A128" s="3"/>
      <c r="B128" s="3"/>
      <c r="D128" s="3" t="s">
        <v>336</v>
      </c>
      <c r="E128" s="5" t="s">
        <v>337</v>
      </c>
      <c r="G128" s="4" t="s">
        <v>338</v>
      </c>
      <c r="H128" s="4"/>
    </row>
    <row r="129" spans="1:8">
      <c r="A129" s="3"/>
      <c r="B129" s="3"/>
      <c r="D129" s="3" t="s">
        <v>339</v>
      </c>
      <c r="E129" s="4" t="s">
        <v>340</v>
      </c>
      <c r="G129" s="4" t="s">
        <v>341</v>
      </c>
      <c r="H129" s="4"/>
    </row>
    <row r="130" spans="1:8">
      <c r="A130" s="3"/>
      <c r="B130" s="3">
        <v>2.4</v>
      </c>
      <c r="C130" s="4" t="s">
        <v>342</v>
      </c>
      <c r="D130" s="3"/>
    </row>
    <row r="131" spans="1:8">
      <c r="A131" s="3"/>
      <c r="B131" s="3"/>
      <c r="C131" s="4" t="s">
        <v>343</v>
      </c>
      <c r="D131" s="4" t="s">
        <v>342</v>
      </c>
    </row>
    <row r="132" spans="1:8">
      <c r="A132" s="3"/>
      <c r="B132" s="3"/>
      <c r="C132" s="4"/>
      <c r="D132" s="4" t="s">
        <v>344</v>
      </c>
      <c r="E132" s="4" t="s">
        <v>345</v>
      </c>
      <c r="G132" s="4" t="s">
        <v>346</v>
      </c>
      <c r="H132" s="4"/>
    </row>
    <row r="133" spans="1:8">
      <c r="A133" s="3"/>
      <c r="B133" s="3"/>
      <c r="C133" s="4"/>
      <c r="D133" s="4" t="s">
        <v>347</v>
      </c>
      <c r="E133" s="4" t="s">
        <v>348</v>
      </c>
      <c r="G133" s="4" t="s">
        <v>349</v>
      </c>
      <c r="H133" s="4"/>
    </row>
    <row r="134" spans="1:8">
      <c r="A134" s="3"/>
      <c r="B134" s="3"/>
      <c r="C134" s="4"/>
      <c r="D134" s="4" t="s">
        <v>350</v>
      </c>
      <c r="E134" s="4" t="s">
        <v>351</v>
      </c>
      <c r="G134" s="4" t="s">
        <v>352</v>
      </c>
      <c r="H134" s="4"/>
    </row>
    <row r="135" spans="1:8">
      <c r="A135" s="3"/>
      <c r="B135" s="3"/>
      <c r="C135" s="4"/>
      <c r="D135" s="4" t="s">
        <v>353</v>
      </c>
      <c r="E135" s="4" t="s">
        <v>354</v>
      </c>
      <c r="G135" s="4" t="s">
        <v>355</v>
      </c>
      <c r="H135" s="4"/>
    </row>
    <row r="136" spans="1:8">
      <c r="A136" s="3"/>
      <c r="B136" s="3"/>
      <c r="C136" s="4" t="s">
        <v>356</v>
      </c>
      <c r="D136" s="5" t="s">
        <v>357</v>
      </c>
    </row>
    <row r="137" spans="1:8">
      <c r="A137" s="3"/>
      <c r="B137" s="3"/>
      <c r="C137" s="4"/>
      <c r="D137" s="3" t="s">
        <v>358</v>
      </c>
      <c r="E137" s="4" t="s">
        <v>359</v>
      </c>
    </row>
    <row r="138" spans="1:8">
      <c r="A138" s="3"/>
      <c r="B138" s="3"/>
      <c r="C138" s="4"/>
      <c r="D138" s="3"/>
      <c r="E138" s="3" t="s">
        <v>360</v>
      </c>
      <c r="F138" s="4" t="s">
        <v>361</v>
      </c>
      <c r="G138" s="4" t="s">
        <v>362</v>
      </c>
      <c r="H138" s="4"/>
    </row>
    <row r="139" spans="1:8">
      <c r="A139" s="3"/>
      <c r="B139" s="3"/>
      <c r="C139" s="4"/>
      <c r="D139" s="3"/>
      <c r="E139" s="3" t="s">
        <v>363</v>
      </c>
      <c r="F139" s="4" t="s">
        <v>364</v>
      </c>
      <c r="G139" s="4" t="s">
        <v>365</v>
      </c>
      <c r="H139" s="4"/>
    </row>
    <row r="140" spans="1:8">
      <c r="A140" s="3"/>
      <c r="B140" s="3"/>
      <c r="C140" s="4"/>
      <c r="D140" s="3"/>
      <c r="E140" s="3" t="s">
        <v>366</v>
      </c>
      <c r="F140" s="4" t="s">
        <v>367</v>
      </c>
      <c r="G140" s="4" t="s">
        <v>368</v>
      </c>
      <c r="H140" s="4"/>
    </row>
    <row r="141" spans="1:8">
      <c r="A141" s="3"/>
      <c r="B141" s="3"/>
      <c r="C141" s="4"/>
      <c r="D141" s="3" t="s">
        <v>369</v>
      </c>
      <c r="E141" s="4" t="s">
        <v>370</v>
      </c>
    </row>
    <row r="142" spans="1:8">
      <c r="A142" s="3"/>
      <c r="B142" s="3"/>
      <c r="C142" s="4"/>
      <c r="D142" s="5"/>
      <c r="E142" s="3" t="s">
        <v>371</v>
      </c>
      <c r="F142" s="4" t="s">
        <v>372</v>
      </c>
      <c r="G142" s="4" t="s">
        <v>373</v>
      </c>
      <c r="H142" s="4"/>
    </row>
    <row r="143" spans="1:8">
      <c r="A143" s="3"/>
      <c r="B143" s="3"/>
      <c r="C143" s="4"/>
      <c r="D143" s="5"/>
      <c r="E143" s="3" t="s">
        <v>374</v>
      </c>
      <c r="F143" s="4" t="s">
        <v>375</v>
      </c>
      <c r="G143" s="4" t="s">
        <v>376</v>
      </c>
      <c r="H143" s="4"/>
    </row>
    <row r="144" spans="1:8">
      <c r="A144" s="3"/>
      <c r="B144" s="3"/>
      <c r="C144" s="4"/>
      <c r="D144" s="5"/>
      <c r="E144" s="3" t="s">
        <v>377</v>
      </c>
      <c r="F144" s="4" t="s">
        <v>378</v>
      </c>
      <c r="G144" s="4" t="s">
        <v>379</v>
      </c>
      <c r="H144" s="4"/>
    </row>
    <row r="145" spans="1:8">
      <c r="A145" s="3"/>
      <c r="B145" s="3"/>
      <c r="C145" s="4"/>
      <c r="D145" s="5"/>
      <c r="E145" s="3" t="s">
        <v>380</v>
      </c>
      <c r="F145" s="4" t="s">
        <v>381</v>
      </c>
      <c r="G145" s="4" t="s">
        <v>382</v>
      </c>
      <c r="H145" s="4"/>
    </row>
    <row r="146" spans="1:8">
      <c r="A146" s="3"/>
      <c r="B146" s="3"/>
      <c r="C146" s="4" t="s">
        <v>383</v>
      </c>
      <c r="D146" s="5" t="s">
        <v>384</v>
      </c>
    </row>
    <row r="147" spans="1:8">
      <c r="A147" s="3"/>
      <c r="B147" s="3"/>
      <c r="C147" s="4"/>
      <c r="D147" s="3" t="s">
        <v>385</v>
      </c>
      <c r="E147" s="4" t="s">
        <v>386</v>
      </c>
      <c r="G147" s="4" t="s">
        <v>387</v>
      </c>
      <c r="H147" s="4"/>
    </row>
    <row r="148" spans="1:8">
      <c r="A148" s="3"/>
      <c r="B148" s="3"/>
      <c r="C148" s="4"/>
      <c r="D148" s="3" t="s">
        <v>388</v>
      </c>
      <c r="E148" s="4" t="s">
        <v>389</v>
      </c>
      <c r="G148" s="4" t="s">
        <v>390</v>
      </c>
      <c r="H148" s="4"/>
    </row>
    <row r="149" spans="1:8">
      <c r="A149" s="3"/>
      <c r="B149" s="3"/>
      <c r="C149" s="4"/>
      <c r="D149" s="3" t="s">
        <v>391</v>
      </c>
      <c r="E149" s="4" t="s">
        <v>392</v>
      </c>
      <c r="G149" s="4" t="s">
        <v>393</v>
      </c>
      <c r="H149" s="4"/>
    </row>
    <row r="150" spans="1:8">
      <c r="A150" s="3"/>
      <c r="B150" s="3"/>
      <c r="C150" s="4" t="s">
        <v>394</v>
      </c>
      <c r="D150" s="5" t="s">
        <v>395</v>
      </c>
      <c r="G150" s="4" t="s">
        <v>396</v>
      </c>
      <c r="H150" s="4"/>
    </row>
    <row r="151" spans="1:8">
      <c r="A151" s="3"/>
      <c r="B151" s="3"/>
      <c r="C151" s="4"/>
      <c r="D151" s="3" t="s">
        <v>397</v>
      </c>
      <c r="E151" s="4" t="s">
        <v>398</v>
      </c>
    </row>
    <row r="152" spans="1:8">
      <c r="A152" s="3"/>
      <c r="B152" s="3"/>
      <c r="C152" s="4"/>
      <c r="D152" s="3"/>
      <c r="E152" s="3" t="s">
        <v>399</v>
      </c>
      <c r="F152" s="4" t="s">
        <v>400</v>
      </c>
      <c r="G152" s="4" t="s">
        <v>401</v>
      </c>
      <c r="H152" s="4"/>
    </row>
    <row r="153" spans="1:8">
      <c r="A153" s="3"/>
      <c r="B153" s="3"/>
      <c r="C153" s="4"/>
      <c r="D153" s="3"/>
      <c r="E153" s="3" t="s">
        <v>402</v>
      </c>
      <c r="F153" s="4" t="s">
        <v>403</v>
      </c>
      <c r="G153" s="4" t="s">
        <v>404</v>
      </c>
      <c r="H153" s="4"/>
    </row>
    <row r="154" spans="1:8">
      <c r="A154" s="3"/>
      <c r="B154" s="3"/>
      <c r="C154" s="4"/>
      <c r="D154" s="3"/>
      <c r="E154" s="3" t="s">
        <v>405</v>
      </c>
      <c r="F154" s="4" t="s">
        <v>406</v>
      </c>
      <c r="G154" s="4" t="s">
        <v>407</v>
      </c>
      <c r="H154" s="4"/>
    </row>
    <row r="155" spans="1:8">
      <c r="A155" s="3"/>
      <c r="B155" s="3"/>
      <c r="C155" s="4"/>
      <c r="D155" s="3" t="s">
        <v>408</v>
      </c>
      <c r="E155" s="4" t="s">
        <v>409</v>
      </c>
      <c r="G155" s="4" t="s">
        <v>410</v>
      </c>
      <c r="H155" s="4"/>
    </row>
    <row r="156" spans="1:8">
      <c r="A156" s="3"/>
      <c r="B156" s="3"/>
      <c r="C156" s="4"/>
      <c r="D156" s="3" t="s">
        <v>411</v>
      </c>
      <c r="E156" s="4" t="s">
        <v>412</v>
      </c>
      <c r="G156" s="4" t="s">
        <v>413</v>
      </c>
      <c r="H156" s="4"/>
    </row>
    <row r="157" spans="1:8">
      <c r="A157" s="3"/>
      <c r="B157" s="3"/>
      <c r="C157" s="4"/>
      <c r="D157" s="3" t="s">
        <v>414</v>
      </c>
      <c r="E157" s="4" t="s">
        <v>415</v>
      </c>
      <c r="G157" s="4" t="s">
        <v>416</v>
      </c>
      <c r="H157" s="4"/>
    </row>
    <row r="158" spans="1:8">
      <c r="A158" s="3"/>
      <c r="B158" s="3"/>
      <c r="C158" s="4"/>
      <c r="D158" s="3" t="s">
        <v>417</v>
      </c>
      <c r="E158" s="4" t="s">
        <v>418</v>
      </c>
      <c r="G158" s="4" t="s">
        <v>419</v>
      </c>
      <c r="H158" s="4"/>
    </row>
    <row r="159" spans="1:8">
      <c r="A159" s="3"/>
      <c r="B159" s="3"/>
      <c r="C159" s="4"/>
      <c r="D159" s="3" t="s">
        <v>420</v>
      </c>
      <c r="E159" s="4" t="s">
        <v>421</v>
      </c>
      <c r="G159" s="4" t="s">
        <v>422</v>
      </c>
      <c r="H159" s="4"/>
    </row>
    <row r="160" spans="1:8">
      <c r="A160" s="3"/>
      <c r="B160" s="3"/>
      <c r="C160" s="4" t="s">
        <v>423</v>
      </c>
      <c r="D160" s="5" t="s">
        <v>424</v>
      </c>
      <c r="G160" s="4" t="s">
        <v>425</v>
      </c>
      <c r="H160" s="4"/>
    </row>
    <row r="161" spans="1:8">
      <c r="A161" s="3"/>
      <c r="B161" s="3"/>
      <c r="C161" s="4"/>
      <c r="D161" s="3" t="s">
        <v>426</v>
      </c>
      <c r="E161" s="4" t="s">
        <v>427</v>
      </c>
      <c r="G161" s="4" t="s">
        <v>428</v>
      </c>
      <c r="H161" s="4"/>
    </row>
    <row r="162" spans="1:8">
      <c r="A162" s="3"/>
      <c r="B162" s="3"/>
      <c r="C162" s="4" t="s">
        <v>429</v>
      </c>
      <c r="D162" s="5" t="s">
        <v>430</v>
      </c>
      <c r="G162" s="4" t="s">
        <v>431</v>
      </c>
      <c r="H162" s="4"/>
    </row>
    <row r="163" spans="1:8">
      <c r="A163" s="3"/>
      <c r="B163" s="3"/>
      <c r="D163" s="5" t="s">
        <v>432</v>
      </c>
      <c r="E163" s="4" t="s">
        <v>433</v>
      </c>
    </row>
    <row r="164" spans="1:8">
      <c r="A164" s="3"/>
      <c r="B164" s="3"/>
      <c r="D164" s="3"/>
      <c r="E164" s="3" t="s">
        <v>434</v>
      </c>
      <c r="F164" s="4" t="s">
        <v>435</v>
      </c>
      <c r="G164" s="4" t="s">
        <v>436</v>
      </c>
      <c r="H164" s="4"/>
    </row>
    <row r="165" spans="1:8">
      <c r="A165" s="3"/>
      <c r="B165" s="3"/>
      <c r="D165" s="3"/>
      <c r="E165" s="3" t="s">
        <v>437</v>
      </c>
      <c r="F165" s="4" t="s">
        <v>438</v>
      </c>
      <c r="G165" s="4" t="s">
        <v>439</v>
      </c>
      <c r="H165" s="4"/>
    </row>
    <row r="166" spans="1:8">
      <c r="A166" s="3"/>
      <c r="B166" s="3"/>
      <c r="D166" s="3"/>
      <c r="E166" s="3" t="s">
        <v>440</v>
      </c>
      <c r="F166" s="4" t="s">
        <v>441</v>
      </c>
      <c r="G166" s="4" t="s">
        <v>442</v>
      </c>
      <c r="H166" s="4"/>
    </row>
    <row r="167" spans="1:8">
      <c r="A167" s="3"/>
      <c r="B167" s="3"/>
      <c r="D167" s="3"/>
      <c r="E167" s="3" t="s">
        <v>443</v>
      </c>
      <c r="F167" s="4" t="s">
        <v>444</v>
      </c>
      <c r="G167" s="4" t="s">
        <v>445</v>
      </c>
      <c r="H167" s="4"/>
    </row>
    <row r="168" spans="1:8">
      <c r="A168" s="3"/>
      <c r="B168" s="3"/>
      <c r="D168" s="3"/>
      <c r="E168" s="3" t="s">
        <v>446</v>
      </c>
      <c r="F168" s="4" t="s">
        <v>447</v>
      </c>
      <c r="G168" s="4" t="s">
        <v>448</v>
      </c>
      <c r="H168" s="4"/>
    </row>
    <row r="169" spans="1:8">
      <c r="A169" s="3"/>
      <c r="B169" s="3">
        <v>2.5</v>
      </c>
      <c r="C169" s="4" t="s">
        <v>449</v>
      </c>
    </row>
    <row r="170" spans="1:8">
      <c r="A170" s="3"/>
      <c r="B170" s="3"/>
      <c r="C170" s="3" t="s">
        <v>450</v>
      </c>
      <c r="D170" s="4" t="s">
        <v>451</v>
      </c>
    </row>
    <row r="171" spans="1:8">
      <c r="A171" s="3"/>
      <c r="B171" s="3"/>
      <c r="D171" s="3" t="s">
        <v>452</v>
      </c>
      <c r="E171" s="5" t="s">
        <v>453</v>
      </c>
      <c r="G171" s="4" t="s">
        <v>454</v>
      </c>
      <c r="H171" s="4"/>
    </row>
    <row r="172" spans="1:8">
      <c r="A172" s="3"/>
      <c r="B172" s="3"/>
      <c r="C172" s="3" t="s">
        <v>455</v>
      </c>
      <c r="D172" s="5" t="s">
        <v>456</v>
      </c>
    </row>
    <row r="173" spans="1:8">
      <c r="A173" s="3"/>
      <c r="B173" s="3"/>
      <c r="D173" s="3" t="s">
        <v>457</v>
      </c>
      <c r="E173" s="5" t="s">
        <v>458</v>
      </c>
      <c r="G173" s="4" t="s">
        <v>459</v>
      </c>
      <c r="H173" s="4"/>
    </row>
    <row r="174" spans="1:8">
      <c r="A174" s="3"/>
      <c r="B174" s="3"/>
      <c r="C174" s="3" t="s">
        <v>460</v>
      </c>
      <c r="D174" s="5" t="s">
        <v>461</v>
      </c>
    </row>
    <row r="175" spans="1:8">
      <c r="A175" s="3"/>
      <c r="B175" s="3"/>
      <c r="D175" s="3" t="s">
        <v>462</v>
      </c>
      <c r="E175" s="4" t="s">
        <v>463</v>
      </c>
      <c r="G175" s="4" t="s">
        <v>464</v>
      </c>
      <c r="H175" s="4"/>
    </row>
    <row r="176" spans="1:8">
      <c r="A176" s="3"/>
      <c r="B176" s="3">
        <v>2.6</v>
      </c>
      <c r="C176" s="4" t="s">
        <v>465</v>
      </c>
      <c r="D176" s="3"/>
    </row>
    <row r="177" spans="1:8">
      <c r="A177" s="3"/>
      <c r="B177" s="3"/>
      <c r="C177" s="3" t="s">
        <v>466</v>
      </c>
      <c r="D177" s="4" t="s">
        <v>467</v>
      </c>
      <c r="G177" s="4" t="s">
        <v>468</v>
      </c>
      <c r="H177" s="4"/>
    </row>
    <row r="178" spans="1:8">
      <c r="A178" s="3"/>
      <c r="B178" s="3">
        <v>2.7</v>
      </c>
      <c r="C178" s="4" t="s">
        <v>469</v>
      </c>
      <c r="D178" s="3"/>
    </row>
    <row r="179" spans="1:8">
      <c r="A179" s="3"/>
      <c r="B179" s="3"/>
      <c r="C179" s="4" t="s">
        <v>470</v>
      </c>
      <c r="D179" s="5" t="s">
        <v>471</v>
      </c>
      <c r="G179" s="4" t="s">
        <v>472</v>
      </c>
      <c r="H179" s="4"/>
    </row>
    <row r="180" spans="1:8">
      <c r="A180" s="3"/>
      <c r="B180" s="3"/>
      <c r="D180" s="3" t="s">
        <v>473</v>
      </c>
      <c r="E180" s="4" t="s">
        <v>474</v>
      </c>
      <c r="G180" s="4" t="s">
        <v>475</v>
      </c>
      <c r="H180" s="4"/>
    </row>
    <row r="181" spans="1:8">
      <c r="A181" s="3"/>
      <c r="B181" s="3"/>
      <c r="C181" s="4" t="s">
        <v>476</v>
      </c>
      <c r="D181" s="5" t="s">
        <v>477</v>
      </c>
      <c r="G181" s="4" t="s">
        <v>478</v>
      </c>
      <c r="H181" s="4"/>
    </row>
    <row r="182" spans="1:8">
      <c r="A182" s="3"/>
      <c r="B182" s="3"/>
      <c r="D182" s="3" t="s">
        <v>479</v>
      </c>
      <c r="E182" s="4" t="s">
        <v>480</v>
      </c>
      <c r="G182" s="4" t="s">
        <v>481</v>
      </c>
      <c r="H182" s="4"/>
    </row>
    <row r="183" spans="1:8">
      <c r="A183" s="3"/>
      <c r="B183" s="3"/>
      <c r="C183" s="4" t="s">
        <v>482</v>
      </c>
      <c r="D183" s="5" t="s">
        <v>483</v>
      </c>
      <c r="G183" s="4" t="s">
        <v>484</v>
      </c>
      <c r="H183" s="4"/>
    </row>
    <row r="184" spans="1:8">
      <c r="A184" s="3"/>
      <c r="B184" s="3"/>
      <c r="D184" s="4" t="s">
        <v>485</v>
      </c>
      <c r="E184" s="4" t="s">
        <v>486</v>
      </c>
      <c r="G184" s="4" t="s">
        <v>487</v>
      </c>
      <c r="H184" s="4"/>
    </row>
    <row r="185" spans="1:8">
      <c r="A185" s="3"/>
      <c r="B185" s="3"/>
      <c r="C185" s="4" t="s">
        <v>488</v>
      </c>
      <c r="D185" s="5" t="s">
        <v>489</v>
      </c>
      <c r="G185" s="4" t="s">
        <v>490</v>
      </c>
      <c r="H185" s="4"/>
    </row>
    <row r="186" spans="1:8">
      <c r="A186" s="3"/>
      <c r="B186" s="3"/>
      <c r="D186" s="3" t="s">
        <v>491</v>
      </c>
      <c r="E186" s="4" t="s">
        <v>492</v>
      </c>
      <c r="G186" s="4" t="s">
        <v>493</v>
      </c>
      <c r="H186" s="4"/>
    </row>
    <row r="187" spans="1:8">
      <c r="A187" s="3"/>
      <c r="B187" s="3"/>
      <c r="D187" s="3" t="s">
        <v>494</v>
      </c>
      <c r="E187" s="4" t="s">
        <v>495</v>
      </c>
      <c r="G187" s="4" t="s">
        <v>496</v>
      </c>
      <c r="H187" s="4"/>
    </row>
    <row r="188" spans="1:8">
      <c r="A188" s="3"/>
      <c r="B188" s="3"/>
      <c r="D188" s="3" t="s">
        <v>497</v>
      </c>
      <c r="E188" s="5" t="s">
        <v>498</v>
      </c>
      <c r="G188" s="4" t="s">
        <v>499</v>
      </c>
      <c r="H188" s="4"/>
    </row>
    <row r="189" spans="1:8">
      <c r="A189" s="3"/>
      <c r="B189" s="3"/>
      <c r="D189" s="3" t="s">
        <v>500</v>
      </c>
      <c r="E189" s="5" t="s">
        <v>501</v>
      </c>
      <c r="G189" s="4" t="s">
        <v>502</v>
      </c>
      <c r="H189" s="4"/>
    </row>
    <row r="190" spans="1:8">
      <c r="A190" s="3"/>
      <c r="B190" s="3"/>
      <c r="D190" s="9" t="s">
        <v>503</v>
      </c>
      <c r="E190" s="7" t="s">
        <v>504</v>
      </c>
      <c r="F190" s="6"/>
      <c r="G190" s="4" t="s">
        <v>505</v>
      </c>
      <c r="H190" s="4"/>
    </row>
    <row r="191" spans="1:8">
      <c r="A191" s="3"/>
      <c r="B191" s="3"/>
      <c r="D191" s="3" t="s">
        <v>506</v>
      </c>
      <c r="E191" s="5" t="s">
        <v>507</v>
      </c>
      <c r="G191" s="4" t="s">
        <v>508</v>
      </c>
      <c r="H191" s="4"/>
    </row>
    <row r="192" spans="1:8">
      <c r="A192" s="3"/>
      <c r="B192" s="3"/>
      <c r="D192" s="3"/>
      <c r="E192" s="3" t="s">
        <v>509</v>
      </c>
      <c r="F192" s="4" t="s">
        <v>510</v>
      </c>
      <c r="G192" s="4" t="s">
        <v>511</v>
      </c>
      <c r="H192" s="4"/>
    </row>
    <row r="193" spans="1:8">
      <c r="A193" s="3"/>
      <c r="B193" s="3"/>
      <c r="D193" s="3" t="s">
        <v>512</v>
      </c>
      <c r="E193" s="5" t="s">
        <v>513</v>
      </c>
      <c r="G193" s="4" t="s">
        <v>514</v>
      </c>
      <c r="H193" s="4"/>
    </row>
    <row r="194" spans="1:8">
      <c r="A194" s="3"/>
      <c r="B194" s="3"/>
      <c r="D194" s="3" t="s">
        <v>515</v>
      </c>
      <c r="E194" s="5" t="s">
        <v>516</v>
      </c>
      <c r="G194" s="4" t="s">
        <v>517</v>
      </c>
      <c r="H194" s="4"/>
    </row>
    <row r="195" spans="1:8">
      <c r="A195" s="3"/>
      <c r="B195" s="3"/>
      <c r="D195" s="3" t="s">
        <v>519</v>
      </c>
      <c r="E195" s="5" t="s">
        <v>520</v>
      </c>
      <c r="G195" s="4" t="s">
        <v>518</v>
      </c>
      <c r="H195" s="4"/>
    </row>
    <row r="196" spans="1:8">
      <c r="A196" s="3">
        <v>3</v>
      </c>
      <c r="B196" s="5" t="s">
        <v>521</v>
      </c>
      <c r="D196" s="3"/>
    </row>
    <row r="197" spans="1:8">
      <c r="A197" s="3"/>
      <c r="B197" s="3">
        <v>3.1</v>
      </c>
      <c r="C197" s="4" t="s">
        <v>522</v>
      </c>
      <c r="D197" s="3"/>
      <c r="G197" s="4" t="s">
        <v>523</v>
      </c>
      <c r="H197" s="4"/>
    </row>
    <row r="198" spans="1:8">
      <c r="A198" s="3"/>
      <c r="B198" s="3"/>
      <c r="C198" s="4" t="s">
        <v>524</v>
      </c>
      <c r="D198" s="5" t="s">
        <v>525</v>
      </c>
      <c r="G198" s="4" t="s">
        <v>526</v>
      </c>
      <c r="H198" s="4"/>
    </row>
    <row r="199" spans="1:8">
      <c r="A199" s="3"/>
      <c r="B199" s="3"/>
      <c r="C199" s="4" t="s">
        <v>527</v>
      </c>
      <c r="D199" s="5" t="s">
        <v>528</v>
      </c>
      <c r="G199" s="4" t="s">
        <v>529</v>
      </c>
      <c r="H199" s="4"/>
    </row>
    <row r="200" spans="1:8">
      <c r="A200" s="3"/>
      <c r="B200" s="3"/>
      <c r="C200" s="4" t="s">
        <v>530</v>
      </c>
      <c r="D200" s="5" t="s">
        <v>531</v>
      </c>
      <c r="G200" s="4" t="s">
        <v>532</v>
      </c>
      <c r="H200" s="4"/>
    </row>
    <row r="201" spans="1:8">
      <c r="A201" s="3"/>
      <c r="B201" s="3"/>
      <c r="C201" s="4" t="s">
        <v>533</v>
      </c>
      <c r="D201" s="5" t="s">
        <v>534</v>
      </c>
      <c r="G201" s="4" t="s">
        <v>535</v>
      </c>
      <c r="H201" s="4"/>
    </row>
    <row r="202" spans="1:8">
      <c r="A202" s="3"/>
      <c r="B202" s="3"/>
      <c r="D202" s="4" t="s">
        <v>536</v>
      </c>
      <c r="E202" s="4" t="s">
        <v>537</v>
      </c>
      <c r="G202" s="4" t="s">
        <v>538</v>
      </c>
      <c r="H202" s="4"/>
    </row>
    <row r="203" spans="1:8">
      <c r="A203" s="3"/>
      <c r="B203" s="3"/>
      <c r="D203" s="4" t="s">
        <v>539</v>
      </c>
      <c r="E203" s="4" t="s">
        <v>540</v>
      </c>
      <c r="G203" s="4" t="s">
        <v>541</v>
      </c>
      <c r="H203" s="4"/>
    </row>
    <row r="204" spans="1:8">
      <c r="A204" s="3"/>
      <c r="B204" s="3"/>
      <c r="D204" s="4" t="s">
        <v>542</v>
      </c>
      <c r="E204" s="4" t="s">
        <v>543</v>
      </c>
      <c r="G204" s="4" t="s">
        <v>544</v>
      </c>
      <c r="H204" s="4"/>
    </row>
    <row r="205" spans="1:8">
      <c r="A205" s="3"/>
      <c r="B205" s="3"/>
      <c r="D205" s="4" t="s">
        <v>545</v>
      </c>
      <c r="E205" s="4" t="s">
        <v>546</v>
      </c>
      <c r="G205" s="4" t="s">
        <v>547</v>
      </c>
      <c r="H205" s="4"/>
    </row>
    <row r="206" spans="1:8">
      <c r="A206" s="3"/>
      <c r="B206" s="3"/>
      <c r="D206" s="4" t="s">
        <v>548</v>
      </c>
      <c r="E206" s="4" t="s">
        <v>549</v>
      </c>
      <c r="G206" s="4" t="s">
        <v>550</v>
      </c>
      <c r="H206" s="4"/>
    </row>
    <row r="207" spans="1:8">
      <c r="A207" s="3"/>
      <c r="B207" s="3"/>
      <c r="C207" s="4" t="s">
        <v>551</v>
      </c>
      <c r="D207" s="5" t="s">
        <v>552</v>
      </c>
      <c r="G207" s="4" t="s">
        <v>553</v>
      </c>
      <c r="H207" s="4"/>
    </row>
    <row r="208" spans="1:8">
      <c r="A208" s="3"/>
      <c r="B208" s="3"/>
      <c r="D208" s="4" t="s">
        <v>554</v>
      </c>
      <c r="E208" s="4" t="s">
        <v>555</v>
      </c>
      <c r="G208" s="4" t="s">
        <v>556</v>
      </c>
      <c r="H208" s="4"/>
    </row>
    <row r="209" spans="1:8">
      <c r="A209" s="3"/>
      <c r="B209" s="3"/>
      <c r="D209" s="4" t="s">
        <v>557</v>
      </c>
      <c r="E209" s="4" t="s">
        <v>558</v>
      </c>
      <c r="G209" s="4" t="s">
        <v>559</v>
      </c>
      <c r="H209" s="4"/>
    </row>
    <row r="210" spans="1:8">
      <c r="A210" s="3"/>
      <c r="B210" s="3"/>
      <c r="C210" s="4" t="s">
        <v>560</v>
      </c>
      <c r="D210" s="5" t="s">
        <v>561</v>
      </c>
      <c r="G210" s="4" t="s">
        <v>562</v>
      </c>
      <c r="H210" s="4"/>
    </row>
    <row r="211" spans="1:8">
      <c r="A211" s="3"/>
      <c r="B211" s="3"/>
      <c r="D211" s="4" t="s">
        <v>563</v>
      </c>
      <c r="E211" s="4" t="s">
        <v>564</v>
      </c>
      <c r="G211" s="4" t="s">
        <v>565</v>
      </c>
      <c r="H211" s="4"/>
    </row>
    <row r="212" spans="1:8">
      <c r="A212" s="3"/>
      <c r="B212" s="3"/>
      <c r="D212" s="4" t="s">
        <v>566</v>
      </c>
      <c r="E212" s="4" t="s">
        <v>567</v>
      </c>
      <c r="G212" s="4" t="s">
        <v>568</v>
      </c>
      <c r="H212" s="4"/>
    </row>
    <row r="213" spans="1:8">
      <c r="A213" s="3"/>
      <c r="B213" s="3"/>
      <c r="D213" s="4" t="s">
        <v>569</v>
      </c>
      <c r="E213" s="4" t="s">
        <v>570</v>
      </c>
      <c r="G213" s="4" t="s">
        <v>571</v>
      </c>
      <c r="H213" s="4"/>
    </row>
    <row r="214" spans="1:8">
      <c r="A214" s="3"/>
      <c r="B214" s="3"/>
      <c r="D214" s="4" t="s">
        <v>572</v>
      </c>
      <c r="E214" s="4" t="s">
        <v>573</v>
      </c>
      <c r="G214" s="4" t="s">
        <v>574</v>
      </c>
      <c r="H214" s="4"/>
    </row>
    <row r="215" spans="1:8">
      <c r="A215" s="3"/>
      <c r="B215" s="3"/>
      <c r="D215" s="4" t="s">
        <v>575</v>
      </c>
      <c r="E215" s="4" t="s">
        <v>576</v>
      </c>
      <c r="G215" s="4" t="s">
        <v>577</v>
      </c>
      <c r="H215" s="4"/>
    </row>
    <row r="216" spans="1:8">
      <c r="A216" s="3"/>
      <c r="B216" s="3">
        <v>3.2</v>
      </c>
      <c r="C216" s="4" t="s">
        <v>578</v>
      </c>
      <c r="D216" s="3"/>
      <c r="G216" s="4" t="s">
        <v>579</v>
      </c>
      <c r="H216" s="4"/>
    </row>
    <row r="217" spans="1:8">
      <c r="A217" s="3"/>
      <c r="B217" s="3"/>
      <c r="C217" s="3" t="s">
        <v>580</v>
      </c>
      <c r="D217" s="5" t="s">
        <v>581</v>
      </c>
      <c r="G217" s="4" t="s">
        <v>582</v>
      </c>
      <c r="H217" s="4"/>
    </row>
    <row r="218" spans="1:8">
      <c r="A218" s="3"/>
      <c r="B218" s="3"/>
      <c r="C218" s="3" t="s">
        <v>583</v>
      </c>
      <c r="D218" s="5" t="s">
        <v>584</v>
      </c>
      <c r="G218" s="4" t="s">
        <v>585</v>
      </c>
      <c r="H218" s="4"/>
    </row>
    <row r="219" spans="1:8">
      <c r="A219" s="3"/>
      <c r="B219" s="3"/>
      <c r="C219" s="3" t="s">
        <v>586</v>
      </c>
      <c r="D219" s="5" t="s">
        <v>587</v>
      </c>
      <c r="G219" s="4" t="s">
        <v>588</v>
      </c>
      <c r="H219" s="4"/>
    </row>
    <row r="220" spans="1:8">
      <c r="A220" s="3"/>
      <c r="B220" s="3"/>
      <c r="C220" s="3" t="s">
        <v>589</v>
      </c>
      <c r="D220" s="4" t="s">
        <v>590</v>
      </c>
      <c r="G220" s="4" t="s">
        <v>591</v>
      </c>
      <c r="H220" s="4"/>
    </row>
    <row r="221" spans="1:8">
      <c r="A221" s="3"/>
      <c r="B221" s="3"/>
      <c r="C221" s="3" t="s">
        <v>592</v>
      </c>
      <c r="D221" s="5" t="s">
        <v>593</v>
      </c>
      <c r="G221" s="4" t="s">
        <v>594</v>
      </c>
      <c r="H221" s="4"/>
    </row>
    <row r="222" spans="1:8">
      <c r="A222" s="3"/>
      <c r="B222" s="3"/>
      <c r="C222" s="3" t="s">
        <v>595</v>
      </c>
      <c r="D222" s="5" t="s">
        <v>596</v>
      </c>
      <c r="G222" s="4" t="s">
        <v>597</v>
      </c>
      <c r="H222" s="4"/>
    </row>
    <row r="223" spans="1:8">
      <c r="A223" s="3"/>
      <c r="B223" s="3"/>
      <c r="C223" s="3" t="s">
        <v>598</v>
      </c>
      <c r="D223" s="5" t="s">
        <v>599</v>
      </c>
      <c r="G223" s="4" t="s">
        <v>600</v>
      </c>
      <c r="H223" s="4"/>
    </row>
    <row r="224" spans="1:8">
      <c r="A224" s="3"/>
      <c r="B224" s="3"/>
      <c r="D224" s="3" t="s">
        <v>601</v>
      </c>
      <c r="E224" s="4" t="s">
        <v>602</v>
      </c>
      <c r="G224" s="4" t="s">
        <v>603</v>
      </c>
      <c r="H224" s="4"/>
    </row>
    <row r="225" spans="1:8">
      <c r="A225" s="3"/>
      <c r="B225" s="3"/>
      <c r="D225" s="3" t="s">
        <v>604</v>
      </c>
      <c r="E225" s="4" t="s">
        <v>605</v>
      </c>
      <c r="G225" s="4" t="s">
        <v>606</v>
      </c>
      <c r="H225" s="4"/>
    </row>
    <row r="226" spans="1:8">
      <c r="A226" s="3"/>
      <c r="B226" s="3"/>
      <c r="D226" s="3" t="s">
        <v>607</v>
      </c>
      <c r="E226" s="4" t="s">
        <v>608</v>
      </c>
      <c r="G226" s="4" t="s">
        <v>609</v>
      </c>
      <c r="H226" s="4"/>
    </row>
    <row r="227" spans="1:8">
      <c r="A227" s="3"/>
      <c r="B227" s="3">
        <v>3.3</v>
      </c>
      <c r="C227" s="4" t="s">
        <v>610</v>
      </c>
      <c r="G227" s="4" t="s">
        <v>611</v>
      </c>
      <c r="H227" s="4"/>
    </row>
    <row r="228" spans="1:8">
      <c r="A228" s="3"/>
      <c r="B228" s="3"/>
      <c r="C228" s="4" t="s">
        <v>612</v>
      </c>
      <c r="D228" s="4" t="s">
        <v>613</v>
      </c>
      <c r="G228" s="4" t="s">
        <v>614</v>
      </c>
      <c r="H228" s="4"/>
    </row>
    <row r="229" spans="1:8">
      <c r="A229" s="3"/>
      <c r="B229" s="3"/>
      <c r="C229" s="4"/>
      <c r="D229" s="4" t="s">
        <v>615</v>
      </c>
      <c r="E229" s="4" t="s">
        <v>616</v>
      </c>
      <c r="G229" s="4" t="s">
        <v>617</v>
      </c>
      <c r="H229" s="4"/>
    </row>
    <row r="230" spans="1:8">
      <c r="A230" s="3"/>
      <c r="B230" s="3"/>
      <c r="C230" s="4"/>
      <c r="D230" s="4" t="s">
        <v>618</v>
      </c>
      <c r="E230" s="4" t="s">
        <v>619</v>
      </c>
      <c r="G230" s="4" t="s">
        <v>620</v>
      </c>
      <c r="H230" s="4"/>
    </row>
    <row r="231" spans="1:8">
      <c r="A231" s="3"/>
      <c r="B231" s="3"/>
      <c r="C231" s="4" t="s">
        <v>621</v>
      </c>
      <c r="D231" s="4" t="s">
        <v>622</v>
      </c>
      <c r="G231" s="4" t="s">
        <v>623</v>
      </c>
      <c r="H231" s="4"/>
    </row>
    <row r="232" spans="1:8">
      <c r="A232" s="3"/>
      <c r="B232" s="3"/>
      <c r="C232" s="4" t="s">
        <v>624</v>
      </c>
      <c r="D232" s="4" t="s">
        <v>625</v>
      </c>
      <c r="G232" s="4" t="s">
        <v>626</v>
      </c>
      <c r="H232" s="4"/>
    </row>
    <row r="233" spans="1:8">
      <c r="A233" s="3"/>
      <c r="B233" s="3"/>
      <c r="D233" s="4" t="s">
        <v>627</v>
      </c>
      <c r="E233" s="4" t="s">
        <v>628</v>
      </c>
      <c r="G233" s="4" t="s">
        <v>629</v>
      </c>
      <c r="H233" s="4"/>
    </row>
    <row r="234" spans="1:8">
      <c r="A234" s="3"/>
      <c r="B234" s="3"/>
      <c r="E234" s="3" t="s">
        <v>630</v>
      </c>
      <c r="F234" s="4" t="s">
        <v>631</v>
      </c>
      <c r="G234" s="4" t="s">
        <v>632</v>
      </c>
      <c r="H234" s="4"/>
    </row>
    <row r="235" spans="1:8">
      <c r="A235" s="3"/>
      <c r="B235" s="3"/>
      <c r="E235" s="3" t="s">
        <v>633</v>
      </c>
      <c r="F235" s="4" t="s">
        <v>634</v>
      </c>
      <c r="G235" s="4" t="s">
        <v>635</v>
      </c>
      <c r="H235" s="4"/>
    </row>
    <row r="236" spans="1:8">
      <c r="A236" s="3"/>
      <c r="D236" s="4" t="s">
        <v>636</v>
      </c>
      <c r="E236" s="4" t="s">
        <v>637</v>
      </c>
      <c r="G236" s="4" t="s">
        <v>638</v>
      </c>
      <c r="H236" s="4"/>
    </row>
    <row r="237" spans="1:8">
      <c r="A237" s="3"/>
      <c r="E237" s="4" t="s">
        <v>636</v>
      </c>
      <c r="F237" s="4" t="s">
        <v>639</v>
      </c>
      <c r="G237" s="4" t="s">
        <v>640</v>
      </c>
      <c r="H237" s="4"/>
    </row>
    <row r="238" spans="1:8">
      <c r="A238" s="3"/>
      <c r="B238" s="3">
        <v>3.4</v>
      </c>
      <c r="C238" s="4" t="s">
        <v>641</v>
      </c>
      <c r="G238" s="4" t="s">
        <v>642</v>
      </c>
      <c r="H238" s="4"/>
    </row>
    <row r="239" spans="1:8">
      <c r="A239" s="3"/>
      <c r="C239" s="4" t="s">
        <v>643</v>
      </c>
      <c r="D239" s="4" t="s">
        <v>644</v>
      </c>
      <c r="G239" s="4" t="s">
        <v>645</v>
      </c>
      <c r="H239" s="4"/>
    </row>
    <row r="240" spans="1:8">
      <c r="A240" s="3"/>
      <c r="C240" s="4" t="s">
        <v>646</v>
      </c>
      <c r="D240" s="4" t="s">
        <v>647</v>
      </c>
      <c r="G240" s="4" t="s">
        <v>648</v>
      </c>
      <c r="H240" s="4"/>
    </row>
    <row r="241" spans="1:8">
      <c r="A241" s="3"/>
      <c r="B241" s="3">
        <v>3.5</v>
      </c>
      <c r="C241" s="4" t="s">
        <v>649</v>
      </c>
      <c r="G241" s="4" t="s">
        <v>650</v>
      </c>
      <c r="H241" s="4"/>
    </row>
    <row r="242" spans="1:8">
      <c r="A242" s="3"/>
      <c r="C242" s="3" t="s">
        <v>651</v>
      </c>
      <c r="D242" s="4" t="s">
        <v>652</v>
      </c>
      <c r="G242" s="4" t="s">
        <v>653</v>
      </c>
      <c r="H242" s="4"/>
    </row>
    <row r="243" spans="1:8">
      <c r="A243" s="3"/>
      <c r="C243" s="3" t="s">
        <v>654</v>
      </c>
      <c r="D243" s="5" t="s">
        <v>655</v>
      </c>
      <c r="G243" s="4" t="s">
        <v>656</v>
      </c>
      <c r="H243" s="4"/>
    </row>
    <row r="244" spans="1:8">
      <c r="A244" s="3"/>
      <c r="C244" s="3" t="s">
        <v>658</v>
      </c>
      <c r="D244" s="5" t="s">
        <v>659</v>
      </c>
      <c r="G244" s="4" t="s">
        <v>660</v>
      </c>
      <c r="H244" s="4"/>
    </row>
    <row r="245" spans="1:8">
      <c r="A245" s="3"/>
      <c r="D245" s="3" t="s">
        <v>661</v>
      </c>
      <c r="E245" s="4" t="s">
        <v>662</v>
      </c>
      <c r="G245" s="4" t="s">
        <v>663</v>
      </c>
      <c r="H245" s="4"/>
    </row>
    <row r="246" spans="1:8">
      <c r="A246" s="3"/>
      <c r="D246" s="3" t="s">
        <v>664</v>
      </c>
      <c r="E246" s="4" t="s">
        <v>665</v>
      </c>
      <c r="G246" s="4" t="s">
        <v>657</v>
      </c>
      <c r="H246" s="4"/>
    </row>
    <row r="247" spans="1:8">
      <c r="A247" s="3"/>
      <c r="D247" s="3" t="s">
        <v>666</v>
      </c>
      <c r="E247" s="4" t="s">
        <v>667</v>
      </c>
      <c r="G247" s="4" t="s">
        <v>668</v>
      </c>
      <c r="H247" s="4"/>
    </row>
    <row r="248" spans="1:8">
      <c r="A248" s="3"/>
      <c r="D248" s="3" t="s">
        <v>669</v>
      </c>
      <c r="E248" s="4" t="s">
        <v>670</v>
      </c>
      <c r="G248" s="4" t="s">
        <v>671</v>
      </c>
      <c r="H248" s="4"/>
    </row>
    <row r="249" spans="1:8">
      <c r="A249" s="3"/>
      <c r="B249" s="4">
        <v>3.6</v>
      </c>
      <c r="C249" s="4" t="s">
        <v>672</v>
      </c>
      <c r="G249" s="4" t="s">
        <v>673</v>
      </c>
      <c r="H249" s="4"/>
    </row>
    <row r="250" spans="1:8">
      <c r="A250" s="3"/>
      <c r="C250" s="4" t="s">
        <v>674</v>
      </c>
      <c r="D250" s="4" t="s">
        <v>675</v>
      </c>
      <c r="G250" s="4" t="s">
        <v>676</v>
      </c>
      <c r="H250" s="4"/>
    </row>
    <row r="251" spans="1:8">
      <c r="A251" s="3"/>
      <c r="D251" s="4" t="s">
        <v>677</v>
      </c>
      <c r="E251" s="4" t="s">
        <v>678</v>
      </c>
      <c r="G251" s="4" t="s">
        <v>679</v>
      </c>
      <c r="H251" s="4"/>
    </row>
    <row r="252" spans="1:8">
      <c r="A252" s="3"/>
      <c r="D252" s="4" t="s">
        <v>680</v>
      </c>
      <c r="E252" s="4" t="s">
        <v>681</v>
      </c>
      <c r="G252" s="4" t="s">
        <v>682</v>
      </c>
      <c r="H252" s="4"/>
    </row>
    <row r="253" spans="1:8">
      <c r="A253" s="3"/>
      <c r="C253" s="4" t="s">
        <v>683</v>
      </c>
      <c r="D253" s="4" t="s">
        <v>684</v>
      </c>
      <c r="G253" s="4" t="s">
        <v>685</v>
      </c>
      <c r="H253" s="4"/>
    </row>
    <row r="254" spans="1:8">
      <c r="A254" s="3"/>
      <c r="D254" s="4" t="s">
        <v>686</v>
      </c>
      <c r="E254" s="5" t="s">
        <v>687</v>
      </c>
      <c r="G254" s="4" t="s">
        <v>688</v>
      </c>
      <c r="H254" s="4"/>
    </row>
    <row r="255" spans="1:8">
      <c r="A255" s="3"/>
      <c r="D255" s="4" t="s">
        <v>689</v>
      </c>
      <c r="E255" s="4" t="s">
        <v>690</v>
      </c>
      <c r="G255" s="4" t="s">
        <v>691</v>
      </c>
      <c r="H255" s="4"/>
    </row>
    <row r="256" spans="1:8">
      <c r="A256" s="3"/>
      <c r="D256" s="4" t="s">
        <v>692</v>
      </c>
      <c r="E256" s="4" t="s">
        <v>693</v>
      </c>
      <c r="G256" s="4" t="s">
        <v>694</v>
      </c>
      <c r="H256" s="4"/>
    </row>
    <row r="257" spans="1:8">
      <c r="A257" s="3"/>
      <c r="C257" s="4" t="s">
        <v>695</v>
      </c>
      <c r="D257" s="4" t="s">
        <v>696</v>
      </c>
      <c r="G257" s="4" t="s">
        <v>697</v>
      </c>
      <c r="H257" s="4"/>
    </row>
    <row r="258" spans="1:8">
      <c r="A258" s="3"/>
      <c r="D258" s="4" t="s">
        <v>698</v>
      </c>
      <c r="E258" s="5" t="s">
        <v>699</v>
      </c>
      <c r="G258" s="4" t="s">
        <v>700</v>
      </c>
      <c r="H258" s="4"/>
    </row>
    <row r="259" spans="1:8">
      <c r="A259" s="3"/>
      <c r="D259" s="4" t="s">
        <v>701</v>
      </c>
      <c r="E259" s="4" t="s">
        <v>702</v>
      </c>
      <c r="G259" s="4" t="s">
        <v>703</v>
      </c>
      <c r="H259" s="4"/>
    </row>
    <row r="260" spans="1:8">
      <c r="A260" s="3"/>
      <c r="D260" s="4" t="s">
        <v>704</v>
      </c>
      <c r="E260" s="4" t="s">
        <v>705</v>
      </c>
      <c r="G260" s="4" t="s">
        <v>706</v>
      </c>
      <c r="H260" s="4"/>
    </row>
    <row r="261" spans="1:8">
      <c r="A261" s="3"/>
    </row>
    <row r="262" spans="1:8">
      <c r="A262" s="3"/>
    </row>
    <row r="263" spans="1:8">
      <c r="A263" s="3"/>
    </row>
    <row r="264" spans="1:8">
      <c r="A264" s="3"/>
    </row>
    <row r="265" spans="1:8">
      <c r="A265" s="3"/>
    </row>
    <row r="266" spans="1:8">
      <c r="A266" s="3"/>
    </row>
    <row r="267" spans="1:8">
      <c r="A267" s="3"/>
    </row>
    <row r="268" spans="1:8">
      <c r="A268" s="3"/>
    </row>
    <row r="269" spans="1:8">
      <c r="A269" s="3"/>
    </row>
    <row r="270" spans="1:8">
      <c r="A270" s="3"/>
    </row>
    <row r="271" spans="1:8">
      <c r="A271" s="3"/>
    </row>
    <row r="272" spans="1:8">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row r="1014" spans="1:1">
      <c r="A1014" s="3"/>
    </row>
    <row r="1015" spans="1:1">
      <c r="A1015" s="3"/>
    </row>
    <row r="1016" spans="1:1">
      <c r="A1016" s="3"/>
    </row>
    <row r="1017" spans="1:1">
      <c r="A1017" s="3"/>
    </row>
    <row r="1018" spans="1:1">
      <c r="A1018" s="3"/>
    </row>
    <row r="1019" spans="1:1">
      <c r="A1019" s="3"/>
    </row>
    <row r="1020" spans="1:1">
      <c r="A1020" s="3"/>
    </row>
    <row r="1021" spans="1:1">
      <c r="A1021" s="3"/>
    </row>
    <row r="1022" spans="1:1">
      <c r="A1022" s="3"/>
    </row>
    <row r="1023" spans="1:1">
      <c r="A1023" s="3"/>
    </row>
    <row r="1024" spans="1:1">
      <c r="A1024" s="3"/>
    </row>
    <row r="1025" spans="1:1">
      <c r="A1025" s="3"/>
    </row>
    <row r="1026" spans="1:1">
      <c r="A1026" s="3"/>
    </row>
    <row r="1027" spans="1:1">
      <c r="A1027" s="3"/>
    </row>
    <row r="1028" spans="1:1">
      <c r="A1028" s="3"/>
    </row>
    <row r="1029" spans="1:1">
      <c r="A1029" s="3"/>
    </row>
    <row r="1030" spans="1:1">
      <c r="A1030" s="3"/>
    </row>
    <row r="1031" spans="1:1">
      <c r="A1031" s="3"/>
    </row>
    <row r="1032" spans="1:1">
      <c r="A1032" s="3"/>
    </row>
    <row r="1033" spans="1:1">
      <c r="A1033" s="3"/>
    </row>
    <row r="1034" spans="1:1">
      <c r="A1034" s="3"/>
    </row>
    <row r="1035" spans="1:1">
      <c r="A1035" s="3"/>
    </row>
    <row r="1036" spans="1:1">
      <c r="A1036" s="3"/>
    </row>
    <row r="1037" spans="1:1">
      <c r="A1037" s="3"/>
    </row>
    <row r="1038" spans="1:1">
      <c r="A1038" s="3"/>
    </row>
    <row r="1039" spans="1:1">
      <c r="A1039" s="3"/>
    </row>
    <row r="1040" spans="1:1">
      <c r="A1040" s="3"/>
    </row>
    <row r="1041" spans="1:1">
      <c r="A1041" s="3"/>
    </row>
    <row r="1042" spans="1:1">
      <c r="A1042" s="3"/>
    </row>
    <row r="1043" spans="1:1">
      <c r="A1043" s="3"/>
    </row>
    <row r="1044" spans="1:1">
      <c r="A1044" s="3"/>
    </row>
    <row r="1045" spans="1:1">
      <c r="A1045" s="3"/>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46"/>
  <sheetViews>
    <sheetView topLeftCell="A45" zoomScale="115" zoomScaleNormal="115" workbookViewId="0">
      <selection activeCell="G40" sqref="G40:G45"/>
    </sheetView>
  </sheetViews>
  <sheetFormatPr defaultColWidth="12.6640625" defaultRowHeight="15.75" customHeight="1"/>
  <cols>
    <col min="2" max="2" width="4.44140625" customWidth="1"/>
    <col min="3" max="3" width="5.44140625" customWidth="1"/>
    <col min="4" max="4" width="7.6640625" customWidth="1"/>
    <col min="5" max="5" width="9.109375" customWidth="1"/>
    <col min="6" max="6" width="33" customWidth="1"/>
    <col min="7" max="7" width="48.6640625" customWidth="1"/>
    <col min="8" max="8" width="80.88671875" customWidth="1"/>
    <col min="9" max="9" width="17.44140625" customWidth="1"/>
    <col min="10" max="12" width="15.109375" customWidth="1"/>
    <col min="13" max="13" width="19.77734375" customWidth="1"/>
    <col min="14" max="14" width="36" customWidth="1"/>
    <col min="15" max="15" width="38.33203125" customWidth="1"/>
    <col min="20" max="20" width="51.109375" customWidth="1"/>
  </cols>
  <sheetData>
    <row r="1" spans="1:22" ht="13.2">
      <c r="A1" s="54" t="s">
        <v>0</v>
      </c>
      <c r="B1" s="55"/>
      <c r="C1" s="55"/>
      <c r="D1" s="55"/>
      <c r="E1" s="55"/>
      <c r="F1" s="55"/>
      <c r="G1" s="1" t="s">
        <v>1</v>
      </c>
      <c r="H1" s="2" t="s">
        <v>2</v>
      </c>
      <c r="I1" s="10" t="s">
        <v>707</v>
      </c>
      <c r="J1" s="21" t="s">
        <v>890</v>
      </c>
      <c r="K1" s="20" t="s">
        <v>891</v>
      </c>
      <c r="L1" s="20"/>
    </row>
    <row r="2" spans="1:22" ht="13.2">
      <c r="A2" s="3">
        <v>1</v>
      </c>
      <c r="B2" s="4" t="s">
        <v>3</v>
      </c>
    </row>
    <row r="3" spans="1:22" ht="13.2">
      <c r="A3" s="3"/>
      <c r="B3" s="3">
        <v>1.1000000000000001</v>
      </c>
      <c r="C3" s="4" t="s">
        <v>4</v>
      </c>
      <c r="G3" s="4" t="s">
        <v>5</v>
      </c>
      <c r="H3" s="4"/>
      <c r="I3" s="3">
        <v>1</v>
      </c>
      <c r="J3" t="str">
        <f>IF(OR(I3=1,I3=2), "ตรงตามเนื้อหา","ไม่ตรงตามเนื้อหา")</f>
        <v>ตรงตามเนื้อหา</v>
      </c>
      <c r="K3" t="str">
        <f>IF(OR(I3=0,I3=1), "Keyword ตรง","Keyword คลุมเครือ")</f>
        <v>Keyword ตรง</v>
      </c>
    </row>
    <row r="4" spans="1:22" ht="13.2">
      <c r="A4" s="3"/>
      <c r="B4" s="3"/>
      <c r="C4" s="4" t="s">
        <v>6</v>
      </c>
      <c r="D4" s="4" t="s">
        <v>7</v>
      </c>
      <c r="G4" s="4" t="s">
        <v>8</v>
      </c>
      <c r="H4" s="4"/>
      <c r="I4" s="3">
        <v>1</v>
      </c>
      <c r="J4" t="str">
        <f>IF(OR(I4=1,I4=2), "ตรงตามเนื้อหา","ไม่ตรงตามเนื้อหา")</f>
        <v>ตรงตามเนื้อหา</v>
      </c>
      <c r="K4" t="str">
        <f t="shared" ref="K4:K14" si="0">IF(OR(I4=0,I4=1), "Keyword ตรง","Keyword คลุมเครือ")</f>
        <v>Keyword ตรง</v>
      </c>
    </row>
    <row r="5" spans="1:22" ht="13.2">
      <c r="A5" s="3"/>
      <c r="B5" s="3"/>
      <c r="C5" s="4" t="s">
        <v>9</v>
      </c>
      <c r="D5" s="4" t="s">
        <v>10</v>
      </c>
      <c r="G5" s="4" t="s">
        <v>11</v>
      </c>
      <c r="I5" s="3">
        <v>1</v>
      </c>
      <c r="J5" t="str">
        <f>IF(OR(I5=1,I5=2), "ตรงตามเนื้อหา","ไม่ตรงตามเนื้อหา")</f>
        <v>ตรงตามเนื้อหา</v>
      </c>
      <c r="K5" t="str">
        <f t="shared" si="0"/>
        <v>Keyword ตรง</v>
      </c>
    </row>
    <row r="6" spans="1:22" ht="15.75" customHeight="1">
      <c r="A6" s="3"/>
      <c r="B6" s="3">
        <v>1.2</v>
      </c>
      <c r="C6" s="4" t="s">
        <v>12</v>
      </c>
      <c r="I6" s="3"/>
      <c r="M6" s="56" t="s">
        <v>708</v>
      </c>
      <c r="N6" s="57"/>
    </row>
    <row r="7" spans="1:22" ht="15.75" customHeight="1">
      <c r="A7" s="3"/>
      <c r="B7" s="3"/>
      <c r="C7" s="4" t="s">
        <v>13</v>
      </c>
      <c r="D7" s="4" t="s">
        <v>14</v>
      </c>
      <c r="G7" s="4" t="s">
        <v>15</v>
      </c>
      <c r="I7" s="3">
        <v>1</v>
      </c>
      <c r="J7" t="str">
        <f t="shared" ref="J7:J69" si="1">IF(OR(I7=1,I7=2), "ตรงตามเนื้อหา","ไม่ตรงตามเนื้อหา")</f>
        <v>ตรงตามเนื้อหา</v>
      </c>
      <c r="K7" t="str">
        <f t="shared" si="0"/>
        <v>Keyword ตรง</v>
      </c>
      <c r="M7" s="11">
        <v>0</v>
      </c>
      <c r="N7" s="12" t="s">
        <v>709</v>
      </c>
    </row>
    <row r="8" spans="1:22" ht="15.75" customHeight="1">
      <c r="A8" s="3"/>
      <c r="B8" s="3"/>
      <c r="D8" s="3" t="s">
        <v>16</v>
      </c>
      <c r="E8" s="4" t="s">
        <v>17</v>
      </c>
      <c r="G8" s="4" t="s">
        <v>18</v>
      </c>
      <c r="I8" s="3">
        <v>1</v>
      </c>
      <c r="J8" t="str">
        <f t="shared" si="1"/>
        <v>ตรงตามเนื้อหา</v>
      </c>
      <c r="K8" t="str">
        <f t="shared" si="0"/>
        <v>Keyword ตรง</v>
      </c>
      <c r="M8" s="11">
        <v>1</v>
      </c>
      <c r="N8" s="12" t="s">
        <v>710</v>
      </c>
    </row>
    <row r="9" spans="1:22" ht="15.75" customHeight="1">
      <c r="A9" s="3"/>
      <c r="B9" s="3"/>
      <c r="C9" s="4"/>
      <c r="D9" s="3" t="s">
        <v>19</v>
      </c>
      <c r="E9" s="4" t="s">
        <v>20</v>
      </c>
      <c r="G9" s="4" t="s">
        <v>21</v>
      </c>
      <c r="I9" s="3">
        <v>1</v>
      </c>
      <c r="J9" t="str">
        <f t="shared" si="1"/>
        <v>ตรงตามเนื้อหา</v>
      </c>
      <c r="K9" t="str">
        <f t="shared" si="0"/>
        <v>Keyword ตรง</v>
      </c>
      <c r="M9" s="11">
        <v>2</v>
      </c>
      <c r="N9" s="12" t="s">
        <v>711</v>
      </c>
    </row>
    <row r="10" spans="1:22" ht="15.75" customHeight="1">
      <c r="A10" s="3"/>
      <c r="B10" s="3"/>
      <c r="C10" s="4" t="s">
        <v>22</v>
      </c>
      <c r="D10" s="4" t="s">
        <v>23</v>
      </c>
      <c r="G10" s="4" t="s">
        <v>24</v>
      </c>
      <c r="I10" s="3">
        <v>1</v>
      </c>
      <c r="J10" t="str">
        <f t="shared" si="1"/>
        <v>ตรงตามเนื้อหา</v>
      </c>
      <c r="K10" t="str">
        <f t="shared" si="0"/>
        <v>Keyword ตรง</v>
      </c>
      <c r="M10" s="11">
        <v>3</v>
      </c>
      <c r="N10" s="12" t="s">
        <v>712</v>
      </c>
    </row>
    <row r="11" spans="1:22" ht="13.2">
      <c r="A11" s="3"/>
      <c r="B11" s="3"/>
      <c r="D11" s="3" t="s">
        <v>25</v>
      </c>
      <c r="E11" s="4" t="s">
        <v>26</v>
      </c>
      <c r="G11" s="4" t="s">
        <v>27</v>
      </c>
      <c r="I11" s="3">
        <v>1</v>
      </c>
      <c r="J11" t="str">
        <f t="shared" si="1"/>
        <v>ตรงตามเนื้อหา</v>
      </c>
      <c r="K11" t="str">
        <f t="shared" si="0"/>
        <v>Keyword ตรง</v>
      </c>
    </row>
    <row r="12" spans="1:22" ht="13.2">
      <c r="A12" s="3"/>
      <c r="B12" s="3"/>
      <c r="D12" s="3" t="s">
        <v>28</v>
      </c>
      <c r="E12" s="4" t="s">
        <v>29</v>
      </c>
      <c r="G12" s="4" t="s">
        <v>30</v>
      </c>
      <c r="I12" s="3">
        <v>1</v>
      </c>
      <c r="J12" t="str">
        <f t="shared" si="1"/>
        <v>ตรงตามเนื้อหา</v>
      </c>
      <c r="K12" t="str">
        <f t="shared" si="0"/>
        <v>Keyword ตรง</v>
      </c>
    </row>
    <row r="13" spans="1:22" ht="13.2">
      <c r="A13" s="3"/>
      <c r="B13" s="3"/>
      <c r="D13" s="3" t="s">
        <v>31</v>
      </c>
      <c r="E13" s="4" t="s">
        <v>32</v>
      </c>
      <c r="G13" s="4" t="s">
        <v>33</v>
      </c>
      <c r="I13" s="3">
        <v>1</v>
      </c>
      <c r="J13" t="str">
        <f t="shared" si="1"/>
        <v>ตรงตามเนื้อหา</v>
      </c>
      <c r="K13" t="str">
        <f t="shared" si="0"/>
        <v>Keyword ตรง</v>
      </c>
    </row>
    <row r="14" spans="1:22" ht="13.2">
      <c r="A14" s="3"/>
      <c r="B14" s="3"/>
      <c r="D14" s="3" t="s">
        <v>34</v>
      </c>
      <c r="E14" s="4" t="s">
        <v>35</v>
      </c>
      <c r="G14" s="4" t="s">
        <v>36</v>
      </c>
      <c r="I14" s="3">
        <v>1</v>
      </c>
      <c r="J14" t="str">
        <f t="shared" si="1"/>
        <v>ตรงตามเนื้อหา</v>
      </c>
      <c r="K14" t="str">
        <f t="shared" si="0"/>
        <v>Keyword ตรง</v>
      </c>
    </row>
    <row r="15" spans="1:22" ht="15.75" customHeight="1">
      <c r="A15" s="3"/>
      <c r="B15" s="3">
        <v>1.3</v>
      </c>
      <c r="C15" s="4" t="s">
        <v>37</v>
      </c>
      <c r="I15" s="3"/>
      <c r="N15" s="18" t="s">
        <v>886</v>
      </c>
      <c r="O15" s="18" t="s">
        <v>887</v>
      </c>
      <c r="P15" s="19"/>
      <c r="U15" s="13"/>
      <c r="V15" s="13"/>
    </row>
    <row r="16" spans="1:22" ht="15.75" customHeight="1">
      <c r="A16" s="3"/>
      <c r="B16" s="3"/>
      <c r="C16" s="4" t="s">
        <v>38</v>
      </c>
      <c r="D16" s="4" t="s">
        <v>39</v>
      </c>
      <c r="I16" s="3"/>
      <c r="M16" s="60" t="s">
        <v>888</v>
      </c>
      <c r="N16" s="58">
        <f>COUNTIFS($K:$K,"Keyword ตรง",$J:$J,"ตรงตามเนื้อหา")</f>
        <v>217</v>
      </c>
      <c r="O16" s="58">
        <f>COUNTIFS($K:$K,"Keyword ตรง",$J:$J,"ไม่ตรงตามเนื้อหา")</f>
        <v>1</v>
      </c>
      <c r="U16" s="14"/>
      <c r="V16" s="15"/>
    </row>
    <row r="17" spans="1:22" ht="15.75" customHeight="1">
      <c r="A17" s="3"/>
      <c r="B17" s="3"/>
      <c r="D17" s="3" t="s">
        <v>40</v>
      </c>
      <c r="E17" s="4" t="s">
        <v>41</v>
      </c>
      <c r="G17" s="4" t="s">
        <v>42</v>
      </c>
      <c r="I17" s="3">
        <v>1</v>
      </c>
      <c r="J17" t="str">
        <f t="shared" si="1"/>
        <v>ตรงตามเนื้อหา</v>
      </c>
      <c r="K17" t="str">
        <f t="shared" ref="K17:K22" si="2">IF(OR(I17=0,I17=1), "Keyword ตรง","Keyword คลุมเครือ")</f>
        <v>Keyword ตรง</v>
      </c>
      <c r="M17" s="60"/>
      <c r="N17" s="59"/>
      <c r="O17" s="59"/>
      <c r="U17" s="14"/>
      <c r="V17" s="15"/>
    </row>
    <row r="18" spans="1:22" ht="15.75" customHeight="1">
      <c r="A18" s="3"/>
      <c r="B18" s="3"/>
      <c r="D18" s="3" t="s">
        <v>43</v>
      </c>
      <c r="E18" s="4" t="s">
        <v>44</v>
      </c>
      <c r="G18" s="4" t="s">
        <v>45</v>
      </c>
      <c r="I18" s="3">
        <v>1</v>
      </c>
      <c r="J18" t="str">
        <f t="shared" si="1"/>
        <v>ตรงตามเนื้อหา</v>
      </c>
      <c r="K18" t="str">
        <f t="shared" si="2"/>
        <v>Keyword ตรง</v>
      </c>
      <c r="M18" s="60" t="s">
        <v>889</v>
      </c>
      <c r="N18" s="58">
        <f>COUNTIFS($K:$K,"Keyword คลุมเครือ",$J:$J,"ตรงตามเนื้อหา")</f>
        <v>1</v>
      </c>
      <c r="O18" s="58">
        <f>COUNTIFS($K:$K,"Keyword คลุมเครือ",$J:$J,"ไม่ตรงตามเนื้อหา")</f>
        <v>0</v>
      </c>
      <c r="U18" s="14"/>
      <c r="V18" s="15"/>
    </row>
    <row r="19" spans="1:22" ht="15.75" customHeight="1">
      <c r="A19" s="3"/>
      <c r="B19" s="3"/>
      <c r="D19" s="3" t="s">
        <v>46</v>
      </c>
      <c r="E19" s="4" t="s">
        <v>47</v>
      </c>
      <c r="G19" s="4" t="s">
        <v>48</v>
      </c>
      <c r="I19" s="3">
        <v>1</v>
      </c>
      <c r="J19" t="str">
        <f t="shared" si="1"/>
        <v>ตรงตามเนื้อหา</v>
      </c>
      <c r="K19" t="str">
        <f t="shared" si="2"/>
        <v>Keyword ตรง</v>
      </c>
      <c r="M19" s="60"/>
      <c r="N19" s="59"/>
      <c r="O19" s="59"/>
      <c r="U19" s="14"/>
      <c r="V19" s="15"/>
    </row>
    <row r="20" spans="1:22" ht="15.75" customHeight="1">
      <c r="A20" s="3"/>
      <c r="B20" s="3"/>
      <c r="D20" s="3" t="s">
        <v>49</v>
      </c>
      <c r="E20" s="4" t="s">
        <v>50</v>
      </c>
      <c r="G20" s="4" t="s">
        <v>51</v>
      </c>
      <c r="I20" s="3">
        <v>0</v>
      </c>
      <c r="J20" t="str">
        <f t="shared" si="1"/>
        <v>ไม่ตรงตามเนื้อหา</v>
      </c>
      <c r="K20" t="str">
        <f t="shared" si="2"/>
        <v>Keyword ตรง</v>
      </c>
      <c r="U20" s="16"/>
    </row>
    <row r="21" spans="1:22" ht="13.2">
      <c r="A21" s="3"/>
      <c r="B21" s="3"/>
      <c r="D21" s="3" t="s">
        <v>52</v>
      </c>
      <c r="E21" s="4" t="s">
        <v>53</v>
      </c>
      <c r="G21" s="4" t="s">
        <v>54</v>
      </c>
      <c r="I21" s="3">
        <v>1</v>
      </c>
      <c r="J21" t="str">
        <f t="shared" si="1"/>
        <v>ตรงตามเนื้อหา</v>
      </c>
      <c r="K21" t="str">
        <f t="shared" si="2"/>
        <v>Keyword ตรง</v>
      </c>
    </row>
    <row r="22" spans="1:22" ht="13.2">
      <c r="A22" s="3"/>
      <c r="B22" s="3"/>
      <c r="D22" s="3" t="s">
        <v>55</v>
      </c>
      <c r="E22" s="4" t="s">
        <v>56</v>
      </c>
      <c r="G22" s="4" t="s">
        <v>57</v>
      </c>
      <c r="I22" s="3">
        <v>1</v>
      </c>
      <c r="J22" t="str">
        <f t="shared" si="1"/>
        <v>ตรงตามเนื้อหา</v>
      </c>
      <c r="K22" t="str">
        <f t="shared" si="2"/>
        <v>Keyword ตรง</v>
      </c>
    </row>
    <row r="23" spans="1:22" ht="13.2">
      <c r="A23" s="3"/>
      <c r="B23" s="3"/>
      <c r="C23" s="4" t="s">
        <v>58</v>
      </c>
      <c r="D23" s="4" t="s">
        <v>59</v>
      </c>
      <c r="I23" s="3"/>
      <c r="N23" s="22"/>
      <c r="O23" s="22"/>
    </row>
    <row r="24" spans="1:22" ht="13.2">
      <c r="A24" s="3"/>
      <c r="B24" s="3"/>
      <c r="D24" s="3" t="s">
        <v>60</v>
      </c>
      <c r="E24" s="4" t="s">
        <v>61</v>
      </c>
      <c r="G24" s="4" t="s">
        <v>62</v>
      </c>
      <c r="I24" s="3">
        <v>1</v>
      </c>
      <c r="J24" t="str">
        <f t="shared" si="1"/>
        <v>ตรงตามเนื้อหา</v>
      </c>
      <c r="K24" t="str">
        <f t="shared" ref="K24:K30" si="3">IF(OR(I24=0,I24=1), "Keyword ตรง","Keyword คลุมเครือ")</f>
        <v>Keyword ตรง</v>
      </c>
      <c r="N24" s="22"/>
      <c r="O24" s="22"/>
    </row>
    <row r="25" spans="1:22" ht="13.2">
      <c r="A25" s="3"/>
      <c r="B25" s="3"/>
      <c r="D25" s="3" t="s">
        <v>63</v>
      </c>
      <c r="E25" s="4" t="s">
        <v>64</v>
      </c>
      <c r="G25" s="4" t="s">
        <v>65</v>
      </c>
      <c r="I25" s="3">
        <v>1</v>
      </c>
      <c r="J25" t="str">
        <f t="shared" si="1"/>
        <v>ตรงตามเนื้อหา</v>
      </c>
      <c r="K25" t="str">
        <f t="shared" si="3"/>
        <v>Keyword ตรง</v>
      </c>
    </row>
    <row r="26" spans="1:22" ht="13.2">
      <c r="A26" s="3"/>
      <c r="B26" s="3"/>
      <c r="D26" s="3"/>
      <c r="E26" s="3" t="s">
        <v>66</v>
      </c>
      <c r="F26" s="4" t="s">
        <v>67</v>
      </c>
      <c r="G26" s="4" t="s">
        <v>68</v>
      </c>
      <c r="I26" s="3">
        <v>1</v>
      </c>
      <c r="J26" t="str">
        <f t="shared" si="1"/>
        <v>ตรงตามเนื้อหา</v>
      </c>
      <c r="K26" t="str">
        <f t="shared" si="3"/>
        <v>Keyword ตรง</v>
      </c>
    </row>
    <row r="27" spans="1:22" ht="13.2">
      <c r="A27" s="3"/>
      <c r="B27" s="3"/>
      <c r="D27" s="3"/>
      <c r="E27" s="3" t="s">
        <v>69</v>
      </c>
      <c r="F27" s="4" t="s">
        <v>70</v>
      </c>
      <c r="G27" s="4" t="s">
        <v>71</v>
      </c>
      <c r="I27" s="3">
        <v>2</v>
      </c>
      <c r="J27" t="str">
        <f t="shared" si="1"/>
        <v>ตรงตามเนื้อหา</v>
      </c>
      <c r="K27" t="str">
        <f t="shared" si="3"/>
        <v>Keyword คลุมเครือ</v>
      </c>
    </row>
    <row r="28" spans="1:22" ht="13.2">
      <c r="A28" s="3"/>
      <c r="B28" s="3"/>
      <c r="D28" s="3" t="s">
        <v>72</v>
      </c>
      <c r="E28" s="4" t="s">
        <v>73</v>
      </c>
      <c r="G28" s="4" t="s">
        <v>74</v>
      </c>
      <c r="I28" s="3">
        <v>1</v>
      </c>
      <c r="J28" t="str">
        <f t="shared" si="1"/>
        <v>ตรงตามเนื้อหา</v>
      </c>
      <c r="K28" t="str">
        <f t="shared" si="3"/>
        <v>Keyword ตรง</v>
      </c>
    </row>
    <row r="29" spans="1:22" ht="13.2">
      <c r="A29" s="3"/>
      <c r="B29" s="3"/>
      <c r="C29" s="4"/>
      <c r="D29" s="4"/>
      <c r="E29" s="3" t="s">
        <v>75</v>
      </c>
      <c r="F29" s="4" t="s">
        <v>76</v>
      </c>
      <c r="G29" s="4" t="s">
        <v>77</v>
      </c>
      <c r="I29" s="3">
        <v>1</v>
      </c>
      <c r="J29" t="str">
        <f t="shared" si="1"/>
        <v>ตรงตามเนื้อหา</v>
      </c>
      <c r="K29" t="str">
        <f t="shared" si="3"/>
        <v>Keyword ตรง</v>
      </c>
    </row>
    <row r="30" spans="1:22" ht="13.2">
      <c r="A30" s="3"/>
      <c r="B30" s="3"/>
      <c r="C30" s="4"/>
      <c r="D30" s="4"/>
      <c r="E30" s="3" t="s">
        <v>78</v>
      </c>
      <c r="F30" s="4" t="s">
        <v>79</v>
      </c>
      <c r="G30" s="4" t="s">
        <v>80</v>
      </c>
      <c r="I30" s="3">
        <v>1</v>
      </c>
      <c r="J30" t="str">
        <f t="shared" si="1"/>
        <v>ตรงตามเนื้อหา</v>
      </c>
      <c r="K30" t="str">
        <f t="shared" si="3"/>
        <v>Keyword ตรง</v>
      </c>
    </row>
    <row r="31" spans="1:22" ht="13.2">
      <c r="A31" s="3"/>
      <c r="B31" s="3"/>
      <c r="C31" s="4" t="s">
        <v>81</v>
      </c>
      <c r="D31" s="4" t="s">
        <v>82</v>
      </c>
      <c r="I31" s="3"/>
    </row>
    <row r="32" spans="1:22" ht="13.2">
      <c r="A32" s="3"/>
      <c r="B32" s="3"/>
      <c r="D32" s="3" t="s">
        <v>83</v>
      </c>
      <c r="E32" s="4" t="s">
        <v>84</v>
      </c>
      <c r="G32" s="4" t="s">
        <v>85</v>
      </c>
      <c r="I32" s="3">
        <v>1</v>
      </c>
      <c r="J32" t="str">
        <f t="shared" si="1"/>
        <v>ตรงตามเนื้อหา</v>
      </c>
      <c r="K32" t="str">
        <f t="shared" ref="K32:K37" si="4">IF(OR(I32=0,I32=1), "Keyword ตรง","Keyword คลุมเครือ")</f>
        <v>Keyword ตรง</v>
      </c>
    </row>
    <row r="33" spans="1:11" ht="13.2">
      <c r="A33" s="3"/>
      <c r="B33" s="3"/>
      <c r="D33" s="3" t="s">
        <v>86</v>
      </c>
      <c r="E33" s="4" t="s">
        <v>87</v>
      </c>
      <c r="G33" s="4" t="s">
        <v>88</v>
      </c>
      <c r="I33" s="3">
        <v>1</v>
      </c>
      <c r="J33" t="str">
        <f t="shared" si="1"/>
        <v>ตรงตามเนื้อหา</v>
      </c>
      <c r="K33" t="str">
        <f t="shared" si="4"/>
        <v>Keyword ตรง</v>
      </c>
    </row>
    <row r="34" spans="1:11" ht="13.2">
      <c r="A34" s="3"/>
      <c r="B34" s="3"/>
      <c r="D34" s="3" t="s">
        <v>89</v>
      </c>
      <c r="E34" s="4" t="s">
        <v>90</v>
      </c>
      <c r="G34" s="4" t="s">
        <v>91</v>
      </c>
      <c r="I34" s="3">
        <v>1</v>
      </c>
      <c r="J34" t="str">
        <f t="shared" si="1"/>
        <v>ตรงตามเนื้อหา</v>
      </c>
      <c r="K34" t="str">
        <f t="shared" si="4"/>
        <v>Keyword ตรง</v>
      </c>
    </row>
    <row r="35" spans="1:11" ht="13.2">
      <c r="A35" s="3"/>
      <c r="B35" s="3"/>
      <c r="D35" s="3" t="s">
        <v>92</v>
      </c>
      <c r="E35" s="4" t="s">
        <v>93</v>
      </c>
      <c r="G35" s="4" t="s">
        <v>94</v>
      </c>
      <c r="I35" s="3">
        <v>1</v>
      </c>
      <c r="J35" t="str">
        <f t="shared" si="1"/>
        <v>ตรงตามเนื้อหา</v>
      </c>
      <c r="K35" t="str">
        <f t="shared" si="4"/>
        <v>Keyword ตรง</v>
      </c>
    </row>
    <row r="36" spans="1:11" ht="13.2">
      <c r="A36" s="3"/>
      <c r="B36" s="3"/>
      <c r="D36" s="3" t="s">
        <v>95</v>
      </c>
      <c r="E36" s="4" t="s">
        <v>96</v>
      </c>
      <c r="G36" s="4" t="s">
        <v>97</v>
      </c>
      <c r="I36" s="3">
        <v>1</v>
      </c>
      <c r="J36" t="str">
        <f t="shared" si="1"/>
        <v>ตรงตามเนื้อหา</v>
      </c>
      <c r="K36" t="str">
        <f t="shared" si="4"/>
        <v>Keyword ตรง</v>
      </c>
    </row>
    <row r="37" spans="1:11" ht="13.2">
      <c r="A37" s="3"/>
      <c r="B37" s="3"/>
      <c r="D37" s="3" t="s">
        <v>98</v>
      </c>
      <c r="E37" s="4" t="s">
        <v>99</v>
      </c>
      <c r="G37" s="4" t="s">
        <v>100</v>
      </c>
      <c r="I37" s="3">
        <v>1</v>
      </c>
      <c r="J37" t="str">
        <f t="shared" si="1"/>
        <v>ตรงตามเนื้อหา</v>
      </c>
      <c r="K37" t="str">
        <f t="shared" si="4"/>
        <v>Keyword ตรง</v>
      </c>
    </row>
    <row r="38" spans="1:11" ht="13.2">
      <c r="A38" s="3"/>
      <c r="B38" s="3">
        <v>1.4</v>
      </c>
      <c r="C38" s="4" t="s">
        <v>101</v>
      </c>
      <c r="I38" s="3"/>
    </row>
    <row r="39" spans="1:11" ht="13.2">
      <c r="A39" s="3"/>
      <c r="B39" s="3"/>
      <c r="C39" s="4" t="s">
        <v>102</v>
      </c>
      <c r="D39" s="4" t="s">
        <v>103</v>
      </c>
      <c r="G39" s="4" t="s">
        <v>104</v>
      </c>
      <c r="I39" s="3">
        <v>1</v>
      </c>
      <c r="J39" t="str">
        <f t="shared" si="1"/>
        <v>ตรงตามเนื้อหา</v>
      </c>
      <c r="K39" t="str">
        <f t="shared" ref="K39:K45" si="5">IF(OR(I39=0,I39=1), "Keyword ตรง","Keyword คลุมเครือ")</f>
        <v>Keyword ตรง</v>
      </c>
    </row>
    <row r="40" spans="1:11" ht="13.2">
      <c r="A40" s="3"/>
      <c r="B40" s="3"/>
      <c r="D40" s="3" t="s">
        <v>105</v>
      </c>
      <c r="E40" s="4" t="s">
        <v>106</v>
      </c>
      <c r="G40" s="4" t="s">
        <v>107</v>
      </c>
      <c r="I40" s="3">
        <v>1</v>
      </c>
      <c r="J40" t="str">
        <f t="shared" si="1"/>
        <v>ตรงตามเนื้อหา</v>
      </c>
      <c r="K40" t="str">
        <f t="shared" si="5"/>
        <v>Keyword ตรง</v>
      </c>
    </row>
    <row r="41" spans="1:11" ht="13.2">
      <c r="A41" s="3"/>
      <c r="B41" s="3"/>
      <c r="D41" s="3" t="s">
        <v>108</v>
      </c>
      <c r="E41" s="4" t="s">
        <v>109</v>
      </c>
      <c r="G41" s="4" t="s">
        <v>110</v>
      </c>
      <c r="I41" s="3">
        <v>1</v>
      </c>
      <c r="J41" t="str">
        <f t="shared" si="1"/>
        <v>ตรงตามเนื้อหา</v>
      </c>
      <c r="K41" t="str">
        <f t="shared" si="5"/>
        <v>Keyword ตรง</v>
      </c>
    </row>
    <row r="42" spans="1:11" ht="13.2">
      <c r="A42" s="3"/>
      <c r="B42" s="3"/>
      <c r="C42" s="4" t="s">
        <v>111</v>
      </c>
      <c r="D42" s="4" t="s">
        <v>112</v>
      </c>
      <c r="G42" s="4" t="s">
        <v>113</v>
      </c>
      <c r="I42" s="3">
        <v>1</v>
      </c>
      <c r="J42" t="str">
        <f t="shared" si="1"/>
        <v>ตรงตามเนื้อหา</v>
      </c>
      <c r="K42" t="str">
        <f t="shared" si="5"/>
        <v>Keyword ตรง</v>
      </c>
    </row>
    <row r="43" spans="1:11" ht="13.2">
      <c r="A43" s="3"/>
      <c r="B43" s="3"/>
      <c r="D43" s="3" t="s">
        <v>114</v>
      </c>
      <c r="E43" s="4" t="s">
        <v>115</v>
      </c>
      <c r="G43" s="4" t="s">
        <v>116</v>
      </c>
      <c r="I43" s="3">
        <v>1</v>
      </c>
      <c r="J43" t="str">
        <f t="shared" si="1"/>
        <v>ตรงตามเนื้อหา</v>
      </c>
      <c r="K43" t="str">
        <f t="shared" si="5"/>
        <v>Keyword ตรง</v>
      </c>
    </row>
    <row r="44" spans="1:11" ht="13.2">
      <c r="A44" s="3"/>
      <c r="B44" s="3"/>
      <c r="D44" s="3" t="s">
        <v>117</v>
      </c>
      <c r="E44" s="4" t="s">
        <v>118</v>
      </c>
      <c r="G44" s="4" t="s">
        <v>119</v>
      </c>
      <c r="I44" s="3">
        <v>1</v>
      </c>
      <c r="J44" t="str">
        <f t="shared" si="1"/>
        <v>ตรงตามเนื้อหา</v>
      </c>
      <c r="K44" t="str">
        <f t="shared" si="5"/>
        <v>Keyword ตรง</v>
      </c>
    </row>
    <row r="45" spans="1:11" ht="13.2">
      <c r="A45" s="3"/>
      <c r="B45" s="3"/>
      <c r="D45" s="3" t="s">
        <v>120</v>
      </c>
      <c r="E45" s="4" t="s">
        <v>121</v>
      </c>
      <c r="G45" s="4" t="s">
        <v>122</v>
      </c>
      <c r="I45" s="3">
        <v>1</v>
      </c>
      <c r="J45" t="str">
        <f t="shared" si="1"/>
        <v>ตรงตามเนื้อหา</v>
      </c>
      <c r="K45" t="str">
        <f t="shared" si="5"/>
        <v>Keyword ตรง</v>
      </c>
    </row>
    <row r="46" spans="1:11" ht="13.2">
      <c r="A46" s="3"/>
      <c r="B46" s="3">
        <v>1.5</v>
      </c>
      <c r="C46" s="4" t="s">
        <v>123</v>
      </c>
      <c r="D46" s="3"/>
      <c r="I46" s="3"/>
    </row>
    <row r="47" spans="1:11" ht="13.2">
      <c r="A47" s="3"/>
      <c r="B47" s="3"/>
      <c r="C47" s="4" t="s">
        <v>124</v>
      </c>
      <c r="D47" s="3" t="s">
        <v>125</v>
      </c>
      <c r="G47" s="4" t="s">
        <v>126</v>
      </c>
      <c r="I47" s="3">
        <v>1</v>
      </c>
      <c r="J47" t="str">
        <f t="shared" si="1"/>
        <v>ตรงตามเนื้อหา</v>
      </c>
      <c r="K47" t="str">
        <f t="shared" ref="K47:K60" si="6">IF(OR(I47=0,I47=1), "Keyword ตรง","Keyword คลุมเครือ")</f>
        <v>Keyword ตรง</v>
      </c>
    </row>
    <row r="48" spans="1:11" ht="13.2">
      <c r="A48" s="3"/>
      <c r="B48" s="3"/>
      <c r="D48" s="3" t="s">
        <v>127</v>
      </c>
      <c r="E48" s="4" t="s">
        <v>128</v>
      </c>
      <c r="G48" s="4" t="s">
        <v>129</v>
      </c>
      <c r="I48" s="3">
        <v>1</v>
      </c>
      <c r="J48" t="str">
        <f t="shared" si="1"/>
        <v>ตรงตามเนื้อหา</v>
      </c>
      <c r="K48" t="str">
        <f t="shared" si="6"/>
        <v>Keyword ตรง</v>
      </c>
    </row>
    <row r="49" spans="1:11" ht="13.2">
      <c r="A49" s="3"/>
      <c r="B49" s="3"/>
      <c r="D49" s="3" t="s">
        <v>130</v>
      </c>
      <c r="E49" s="4" t="s">
        <v>131</v>
      </c>
      <c r="G49" s="4" t="s">
        <v>132</v>
      </c>
      <c r="I49" s="3">
        <v>1</v>
      </c>
      <c r="J49" t="str">
        <f t="shared" si="1"/>
        <v>ตรงตามเนื้อหา</v>
      </c>
      <c r="K49" t="str">
        <f t="shared" si="6"/>
        <v>Keyword ตรง</v>
      </c>
    </row>
    <row r="50" spans="1:11" ht="13.2">
      <c r="A50" s="3"/>
      <c r="B50" s="3"/>
      <c r="D50" s="3" t="s">
        <v>133</v>
      </c>
      <c r="E50" s="4" t="s">
        <v>134</v>
      </c>
      <c r="G50" s="4" t="s">
        <v>135</v>
      </c>
      <c r="I50" s="3">
        <v>1</v>
      </c>
      <c r="J50" t="str">
        <f t="shared" si="1"/>
        <v>ตรงตามเนื้อหา</v>
      </c>
      <c r="K50" t="str">
        <f t="shared" si="6"/>
        <v>Keyword ตรง</v>
      </c>
    </row>
    <row r="51" spans="1:11" ht="13.2">
      <c r="A51" s="3"/>
      <c r="B51" s="3"/>
      <c r="C51" s="4" t="s">
        <v>136</v>
      </c>
      <c r="D51" s="5" t="s">
        <v>137</v>
      </c>
      <c r="G51" s="4" t="s">
        <v>138</v>
      </c>
      <c r="I51" s="3">
        <v>1</v>
      </c>
      <c r="J51" t="str">
        <f t="shared" si="1"/>
        <v>ตรงตามเนื้อหา</v>
      </c>
      <c r="K51" t="str">
        <f t="shared" si="6"/>
        <v>Keyword ตรง</v>
      </c>
    </row>
    <row r="52" spans="1:11" ht="13.2">
      <c r="A52" s="3"/>
      <c r="D52" s="3" t="s">
        <v>139</v>
      </c>
      <c r="E52" s="4" t="s">
        <v>140</v>
      </c>
      <c r="G52" s="4" t="s">
        <v>141</v>
      </c>
      <c r="I52" s="3">
        <v>1</v>
      </c>
      <c r="J52" t="str">
        <f t="shared" si="1"/>
        <v>ตรงตามเนื้อหา</v>
      </c>
      <c r="K52" t="str">
        <f t="shared" si="6"/>
        <v>Keyword ตรง</v>
      </c>
    </row>
    <row r="53" spans="1:11" ht="13.2">
      <c r="A53" s="3"/>
      <c r="C53" s="4" t="s">
        <v>142</v>
      </c>
      <c r="D53" s="5" t="s">
        <v>143</v>
      </c>
      <c r="G53" s="4" t="s">
        <v>144</v>
      </c>
      <c r="I53" s="3">
        <v>1</v>
      </c>
      <c r="J53" t="str">
        <f t="shared" si="1"/>
        <v>ตรงตามเนื้อหา</v>
      </c>
      <c r="K53" t="str">
        <f t="shared" si="6"/>
        <v>Keyword ตรง</v>
      </c>
    </row>
    <row r="54" spans="1:11" ht="13.2">
      <c r="A54" s="3"/>
      <c r="D54" s="3" t="s">
        <v>145</v>
      </c>
      <c r="E54" s="4" t="s">
        <v>146</v>
      </c>
      <c r="G54" s="4" t="s">
        <v>147</v>
      </c>
      <c r="I54" s="3">
        <v>1</v>
      </c>
      <c r="J54" t="str">
        <f t="shared" si="1"/>
        <v>ตรงตามเนื้อหา</v>
      </c>
      <c r="K54" t="str">
        <f t="shared" si="6"/>
        <v>Keyword ตรง</v>
      </c>
    </row>
    <row r="55" spans="1:11" ht="13.2">
      <c r="A55" s="3"/>
      <c r="C55" s="4" t="s">
        <v>148</v>
      </c>
      <c r="D55" s="3" t="s">
        <v>149</v>
      </c>
      <c r="G55" s="4" t="s">
        <v>150</v>
      </c>
      <c r="I55" s="3">
        <v>1</v>
      </c>
      <c r="J55" t="str">
        <f t="shared" si="1"/>
        <v>ตรงตามเนื้อหา</v>
      </c>
      <c r="K55" t="str">
        <f t="shared" si="6"/>
        <v>Keyword ตรง</v>
      </c>
    </row>
    <row r="56" spans="1:11" ht="13.2">
      <c r="A56" s="3"/>
      <c r="D56" s="3" t="s">
        <v>151</v>
      </c>
      <c r="E56" s="4" t="s">
        <v>152</v>
      </c>
      <c r="G56" s="4" t="s">
        <v>153</v>
      </c>
      <c r="I56" s="3">
        <v>1</v>
      </c>
      <c r="J56" t="str">
        <f t="shared" si="1"/>
        <v>ตรงตามเนื้อหา</v>
      </c>
      <c r="K56" t="str">
        <f t="shared" si="6"/>
        <v>Keyword ตรง</v>
      </c>
    </row>
    <row r="57" spans="1:11" ht="13.2">
      <c r="A57" s="3"/>
      <c r="D57" s="3" t="s">
        <v>154</v>
      </c>
      <c r="E57" s="4" t="s">
        <v>155</v>
      </c>
      <c r="G57" s="4" t="s">
        <v>156</v>
      </c>
      <c r="I57" s="3">
        <v>1</v>
      </c>
      <c r="J57" t="str">
        <f t="shared" si="1"/>
        <v>ตรงตามเนื้อหา</v>
      </c>
      <c r="K57" t="str">
        <f t="shared" si="6"/>
        <v>Keyword ตรง</v>
      </c>
    </row>
    <row r="58" spans="1:11" ht="39.6">
      <c r="A58" s="3"/>
      <c r="C58" s="6" t="s">
        <v>157</v>
      </c>
      <c r="D58" s="7" t="s">
        <v>158</v>
      </c>
      <c r="E58" s="6"/>
      <c r="F58" s="6"/>
      <c r="G58" s="37" t="s">
        <v>159</v>
      </c>
      <c r="H58" s="6"/>
      <c r="I58" s="3">
        <v>1</v>
      </c>
      <c r="J58" t="str">
        <f t="shared" si="1"/>
        <v>ตรงตามเนื้อหา</v>
      </c>
      <c r="K58" t="str">
        <f t="shared" si="6"/>
        <v>Keyword ตรง</v>
      </c>
    </row>
    <row r="59" spans="1:11" ht="13.2">
      <c r="A59" s="3"/>
      <c r="D59" s="3" t="s">
        <v>160</v>
      </c>
      <c r="E59" s="4" t="s">
        <v>161</v>
      </c>
      <c r="G59" s="4" t="s">
        <v>162</v>
      </c>
      <c r="I59" s="3">
        <v>1</v>
      </c>
      <c r="J59" t="str">
        <f t="shared" si="1"/>
        <v>ตรงตามเนื้อหา</v>
      </c>
      <c r="K59" t="str">
        <f t="shared" si="6"/>
        <v>Keyword ตรง</v>
      </c>
    </row>
    <row r="60" spans="1:11" ht="13.2">
      <c r="A60" s="3"/>
      <c r="D60" s="3" t="s">
        <v>163</v>
      </c>
      <c r="E60" s="4" t="s">
        <v>164</v>
      </c>
      <c r="G60" s="4" t="s">
        <v>165</v>
      </c>
      <c r="I60" s="3">
        <v>1</v>
      </c>
      <c r="J60" t="str">
        <f t="shared" si="1"/>
        <v>ตรงตามเนื้อหา</v>
      </c>
      <c r="K60" t="str">
        <f t="shared" si="6"/>
        <v>Keyword ตรง</v>
      </c>
    </row>
    <row r="61" spans="1:11" ht="13.2">
      <c r="A61" s="3"/>
      <c r="B61" s="4">
        <v>1.6</v>
      </c>
      <c r="C61" s="4" t="s">
        <v>166</v>
      </c>
      <c r="D61" s="3"/>
      <c r="I61" s="3"/>
    </row>
    <row r="62" spans="1:11" ht="13.2">
      <c r="A62" s="3"/>
      <c r="C62" s="4" t="s">
        <v>167</v>
      </c>
      <c r="D62" s="4" t="s">
        <v>168</v>
      </c>
      <c r="G62" s="4" t="s">
        <v>168</v>
      </c>
      <c r="I62" s="3">
        <v>1</v>
      </c>
      <c r="J62" t="str">
        <f t="shared" si="1"/>
        <v>ตรงตามเนื้อหา</v>
      </c>
      <c r="K62" t="str">
        <f t="shared" ref="K62:K66" si="7">IF(OR(I62=0,I62=1), "Keyword ตรง","Keyword คลุมเครือ")</f>
        <v>Keyword ตรง</v>
      </c>
    </row>
    <row r="63" spans="1:11" ht="13.2">
      <c r="A63" s="3"/>
      <c r="D63" s="3" t="s">
        <v>169</v>
      </c>
      <c r="E63" s="4" t="s">
        <v>170</v>
      </c>
      <c r="G63" s="4" t="s">
        <v>171</v>
      </c>
      <c r="I63" s="3">
        <v>1</v>
      </c>
      <c r="J63" t="str">
        <f t="shared" si="1"/>
        <v>ตรงตามเนื้อหา</v>
      </c>
      <c r="K63" t="str">
        <f t="shared" si="7"/>
        <v>Keyword ตรง</v>
      </c>
    </row>
    <row r="64" spans="1:11" ht="13.2">
      <c r="A64" s="3"/>
      <c r="D64" s="3" t="s">
        <v>172</v>
      </c>
      <c r="E64" s="4" t="s">
        <v>173</v>
      </c>
      <c r="G64" s="4" t="s">
        <v>174</v>
      </c>
      <c r="I64" s="3">
        <v>1</v>
      </c>
      <c r="J64" t="str">
        <f t="shared" si="1"/>
        <v>ตรงตามเนื้อหา</v>
      </c>
      <c r="K64" t="str">
        <f t="shared" si="7"/>
        <v>Keyword ตรง</v>
      </c>
    </row>
    <row r="65" spans="1:11" ht="13.2">
      <c r="A65" s="3"/>
      <c r="D65" s="3" t="s">
        <v>175</v>
      </c>
      <c r="E65" s="4" t="s">
        <v>176</v>
      </c>
      <c r="G65" s="4" t="s">
        <v>177</v>
      </c>
      <c r="I65" s="3">
        <v>1</v>
      </c>
      <c r="J65" t="str">
        <f t="shared" si="1"/>
        <v>ตรงตามเนื้อหา</v>
      </c>
      <c r="K65" t="str">
        <f t="shared" si="7"/>
        <v>Keyword ตรง</v>
      </c>
    </row>
    <row r="66" spans="1:11" ht="13.2">
      <c r="A66" s="3"/>
      <c r="D66" s="3" t="s">
        <v>178</v>
      </c>
      <c r="E66" s="4" t="s">
        <v>179</v>
      </c>
      <c r="G66" s="4" t="s">
        <v>180</v>
      </c>
      <c r="I66" s="3">
        <v>1</v>
      </c>
      <c r="J66" t="str">
        <f t="shared" si="1"/>
        <v>ตรงตามเนื้อหา</v>
      </c>
      <c r="K66" t="str">
        <f t="shared" si="7"/>
        <v>Keyword ตรง</v>
      </c>
    </row>
    <row r="67" spans="1:11" ht="13.2">
      <c r="A67" s="3"/>
      <c r="B67" s="4">
        <v>1.7</v>
      </c>
      <c r="C67" s="4" t="s">
        <v>181</v>
      </c>
      <c r="I67" s="3"/>
    </row>
    <row r="68" spans="1:11" ht="13.2">
      <c r="A68" s="3"/>
      <c r="C68" s="4" t="s">
        <v>182</v>
      </c>
      <c r="D68" s="4" t="s">
        <v>183</v>
      </c>
      <c r="G68" s="4" t="s">
        <v>184</v>
      </c>
      <c r="I68" s="3">
        <v>1</v>
      </c>
      <c r="J68" t="str">
        <f t="shared" si="1"/>
        <v>ตรงตามเนื้อหา</v>
      </c>
      <c r="K68" t="str">
        <f t="shared" ref="K68:K74" si="8">IF(OR(I68=0,I68=1), "Keyword ตรง","Keyword คลุมเครือ")</f>
        <v>Keyword ตรง</v>
      </c>
    </row>
    <row r="69" spans="1:11" ht="13.2">
      <c r="A69" s="3"/>
      <c r="D69" s="3" t="s">
        <v>185</v>
      </c>
      <c r="E69" s="4" t="s">
        <v>186</v>
      </c>
      <c r="G69" s="4" t="s">
        <v>187</v>
      </c>
      <c r="I69" s="3">
        <v>1</v>
      </c>
      <c r="J69" t="str">
        <f t="shared" si="1"/>
        <v>ตรงตามเนื้อหา</v>
      </c>
      <c r="K69" t="str">
        <f t="shared" si="8"/>
        <v>Keyword ตรง</v>
      </c>
    </row>
    <row r="70" spans="1:11" ht="13.2">
      <c r="A70" s="3"/>
      <c r="C70" s="4" t="s">
        <v>188</v>
      </c>
      <c r="D70" s="4" t="s">
        <v>189</v>
      </c>
      <c r="G70" s="4" t="s">
        <v>190</v>
      </c>
      <c r="I70" s="3">
        <v>1</v>
      </c>
      <c r="J70" t="str">
        <f t="shared" ref="J70:J134" si="9">IF(OR(I70=1,I70=2), "ตรงตามเนื้อหา","ไม่ตรงตามเนื้อหา")</f>
        <v>ตรงตามเนื้อหา</v>
      </c>
      <c r="K70" t="str">
        <f t="shared" si="8"/>
        <v>Keyword ตรง</v>
      </c>
    </row>
    <row r="71" spans="1:11" ht="13.2">
      <c r="A71" s="3"/>
      <c r="D71" s="3" t="s">
        <v>191</v>
      </c>
      <c r="E71" s="4" t="s">
        <v>192</v>
      </c>
      <c r="G71" s="4" t="s">
        <v>193</v>
      </c>
      <c r="I71" s="3">
        <v>1</v>
      </c>
      <c r="J71" t="str">
        <f t="shared" si="9"/>
        <v>ตรงตามเนื้อหา</v>
      </c>
      <c r="K71" t="str">
        <f t="shared" si="8"/>
        <v>Keyword ตรง</v>
      </c>
    </row>
    <row r="72" spans="1:11" ht="13.2">
      <c r="A72" s="3"/>
      <c r="C72" s="4" t="s">
        <v>194</v>
      </c>
      <c r="D72" s="4" t="s">
        <v>195</v>
      </c>
      <c r="G72" s="4" t="s">
        <v>196</v>
      </c>
      <c r="I72" s="3">
        <v>1</v>
      </c>
      <c r="J72" t="str">
        <f t="shared" si="9"/>
        <v>ตรงตามเนื้อหา</v>
      </c>
      <c r="K72" t="str">
        <f t="shared" si="8"/>
        <v>Keyword ตรง</v>
      </c>
    </row>
    <row r="73" spans="1:11" ht="13.2">
      <c r="A73" s="3"/>
      <c r="D73" s="3" t="s">
        <v>197</v>
      </c>
      <c r="E73" s="4" t="s">
        <v>198</v>
      </c>
      <c r="G73" s="4" t="s">
        <v>199</v>
      </c>
      <c r="I73" s="3">
        <v>1</v>
      </c>
      <c r="J73" t="str">
        <f t="shared" si="9"/>
        <v>ตรงตามเนื้อหา</v>
      </c>
      <c r="K73" t="str">
        <f t="shared" si="8"/>
        <v>Keyword ตรง</v>
      </c>
    </row>
    <row r="74" spans="1:11" ht="13.2">
      <c r="A74" s="3"/>
      <c r="D74" s="3" t="s">
        <v>200</v>
      </c>
      <c r="E74" s="4" t="s">
        <v>201</v>
      </c>
      <c r="G74" s="4" t="s">
        <v>202</v>
      </c>
      <c r="I74" s="3">
        <v>1</v>
      </c>
      <c r="J74" t="str">
        <f t="shared" si="9"/>
        <v>ตรงตามเนื้อหา</v>
      </c>
      <c r="K74" t="str">
        <f t="shared" si="8"/>
        <v>Keyword ตรง</v>
      </c>
    </row>
    <row r="75" spans="1:11" ht="13.2">
      <c r="A75" s="3"/>
      <c r="D75" s="3"/>
      <c r="E75" s="4"/>
      <c r="G75" s="4">
        <f>COUNTA(G3:G74)</f>
        <v>63</v>
      </c>
      <c r="I75" s="3"/>
    </row>
    <row r="76" spans="1:11" ht="13.2">
      <c r="A76" s="3">
        <v>2</v>
      </c>
      <c r="B76" s="4" t="s">
        <v>203</v>
      </c>
      <c r="G76" s="8"/>
      <c r="I76" s="3"/>
    </row>
    <row r="77" spans="1:11" ht="13.2">
      <c r="A77" s="3"/>
      <c r="B77" s="3">
        <v>2.1</v>
      </c>
      <c r="C77" s="4" t="s">
        <v>204</v>
      </c>
      <c r="I77" s="3"/>
    </row>
    <row r="78" spans="1:11" ht="13.2">
      <c r="A78" s="3"/>
      <c r="B78" s="3"/>
      <c r="C78" s="4" t="s">
        <v>205</v>
      </c>
      <c r="D78" s="4" t="s">
        <v>206</v>
      </c>
      <c r="G78" s="4" t="s">
        <v>207</v>
      </c>
      <c r="I78" s="3">
        <v>1</v>
      </c>
      <c r="J78" t="str">
        <f t="shared" si="9"/>
        <v>ตรงตามเนื้อหา</v>
      </c>
      <c r="K78" t="str">
        <f t="shared" ref="K78:K85" si="10">IF(OR(I78=0,I78=1), "Keyword ตรง","Keyword คลุมเครือ")</f>
        <v>Keyword ตรง</v>
      </c>
    </row>
    <row r="79" spans="1:11" ht="13.2">
      <c r="A79" s="3"/>
      <c r="B79" s="3"/>
      <c r="D79" s="3" t="s">
        <v>208</v>
      </c>
      <c r="E79" s="5" t="s">
        <v>209</v>
      </c>
      <c r="G79" s="4" t="s">
        <v>65</v>
      </c>
      <c r="I79" s="3">
        <v>1</v>
      </c>
      <c r="J79" t="str">
        <f t="shared" si="9"/>
        <v>ตรงตามเนื้อหา</v>
      </c>
      <c r="K79" t="str">
        <f t="shared" si="10"/>
        <v>Keyword ตรง</v>
      </c>
    </row>
    <row r="80" spans="1:11" ht="13.2">
      <c r="A80" s="3"/>
      <c r="B80" s="3"/>
      <c r="D80" s="3" t="s">
        <v>210</v>
      </c>
      <c r="E80" s="5" t="s">
        <v>211</v>
      </c>
      <c r="G80" s="4" t="s">
        <v>74</v>
      </c>
      <c r="I80" s="3">
        <v>1</v>
      </c>
      <c r="J80" t="str">
        <f t="shared" si="9"/>
        <v>ตรงตามเนื้อหา</v>
      </c>
      <c r="K80" t="str">
        <f t="shared" si="10"/>
        <v>Keyword ตรง</v>
      </c>
    </row>
    <row r="81" spans="1:11" ht="13.2">
      <c r="A81" s="3"/>
      <c r="B81" s="3"/>
      <c r="C81" s="4" t="s">
        <v>212</v>
      </c>
      <c r="D81" s="4" t="s">
        <v>213</v>
      </c>
      <c r="E81" s="3"/>
      <c r="I81" s="3"/>
    </row>
    <row r="82" spans="1:11" ht="13.2">
      <c r="A82" s="3"/>
      <c r="B82" s="3"/>
      <c r="D82" s="3" t="s">
        <v>214</v>
      </c>
      <c r="E82" s="5" t="s">
        <v>215</v>
      </c>
      <c r="G82" s="4" t="s">
        <v>216</v>
      </c>
      <c r="I82" s="3">
        <v>1</v>
      </c>
      <c r="J82" t="str">
        <f t="shared" si="9"/>
        <v>ตรงตามเนื้อหา</v>
      </c>
      <c r="K82" t="str">
        <f t="shared" si="10"/>
        <v>Keyword ตรง</v>
      </c>
    </row>
    <row r="83" spans="1:11" ht="13.2">
      <c r="A83" s="3"/>
      <c r="B83" s="3"/>
      <c r="D83" s="3" t="s">
        <v>217</v>
      </c>
      <c r="E83" s="5" t="s">
        <v>218</v>
      </c>
      <c r="G83" s="4" t="s">
        <v>219</v>
      </c>
      <c r="I83" s="3">
        <v>1</v>
      </c>
      <c r="J83" t="str">
        <f t="shared" si="9"/>
        <v>ตรงตามเนื้อหา</v>
      </c>
      <c r="K83" t="str">
        <f t="shared" si="10"/>
        <v>Keyword ตรง</v>
      </c>
    </row>
    <row r="84" spans="1:11" ht="13.2">
      <c r="A84" s="3"/>
      <c r="B84" s="3"/>
      <c r="D84" s="3" t="s">
        <v>220</v>
      </c>
      <c r="E84" s="5" t="s">
        <v>221</v>
      </c>
      <c r="G84" s="4" t="s">
        <v>222</v>
      </c>
      <c r="I84" s="3">
        <v>1</v>
      </c>
      <c r="J84" t="str">
        <f t="shared" si="9"/>
        <v>ตรงตามเนื้อหา</v>
      </c>
      <c r="K84" t="str">
        <f t="shared" si="10"/>
        <v>Keyword ตรง</v>
      </c>
    </row>
    <row r="85" spans="1:11" ht="13.2">
      <c r="A85" s="3"/>
      <c r="B85" s="3"/>
      <c r="D85" s="3" t="s">
        <v>223</v>
      </c>
      <c r="E85" s="5" t="s">
        <v>224</v>
      </c>
      <c r="G85" s="4" t="s">
        <v>225</v>
      </c>
      <c r="I85" s="3">
        <v>1</v>
      </c>
      <c r="J85" t="str">
        <f t="shared" si="9"/>
        <v>ตรงตามเนื้อหา</v>
      </c>
      <c r="K85" t="str">
        <f t="shared" si="10"/>
        <v>Keyword ตรง</v>
      </c>
    </row>
    <row r="86" spans="1:11" ht="13.2">
      <c r="A86" s="3"/>
      <c r="B86" s="3"/>
      <c r="C86" s="4" t="s">
        <v>226</v>
      </c>
      <c r="D86" s="5" t="s">
        <v>227</v>
      </c>
      <c r="E86" s="3"/>
      <c r="I86" s="3"/>
    </row>
    <row r="87" spans="1:11" ht="13.2">
      <c r="A87" s="3"/>
      <c r="B87" s="3"/>
      <c r="D87" s="3" t="s">
        <v>228</v>
      </c>
      <c r="E87" s="5" t="s">
        <v>14</v>
      </c>
      <c r="I87" s="3"/>
    </row>
    <row r="88" spans="1:11" ht="13.2">
      <c r="A88" s="3"/>
      <c r="B88" s="3"/>
      <c r="E88" s="3" t="s">
        <v>229</v>
      </c>
      <c r="F88" s="5" t="s">
        <v>230</v>
      </c>
      <c r="G88" s="4" t="s">
        <v>231</v>
      </c>
      <c r="I88" s="3">
        <v>1</v>
      </c>
      <c r="J88" t="str">
        <f t="shared" si="9"/>
        <v>ตรงตามเนื้อหา</v>
      </c>
      <c r="K88" t="str">
        <f t="shared" ref="K88:K90" si="11">IF(OR(I88=0,I88=1), "Keyword ตรง","Keyword คลุมเครือ")</f>
        <v>Keyword ตรง</v>
      </c>
    </row>
    <row r="89" spans="1:11" ht="13.2">
      <c r="A89" s="3"/>
      <c r="B89" s="3"/>
      <c r="D89" s="3"/>
      <c r="E89" s="3" t="s">
        <v>232</v>
      </c>
      <c r="F89" s="5" t="s">
        <v>233</v>
      </c>
      <c r="G89" s="4" t="s">
        <v>234</v>
      </c>
      <c r="I89" s="3">
        <v>1</v>
      </c>
      <c r="J89" t="str">
        <f t="shared" si="9"/>
        <v>ตรงตามเนื้อหา</v>
      </c>
      <c r="K89" t="str">
        <f t="shared" si="11"/>
        <v>Keyword ตรง</v>
      </c>
    </row>
    <row r="90" spans="1:11" ht="13.2">
      <c r="A90" s="3"/>
      <c r="B90" s="3"/>
      <c r="D90" s="3"/>
      <c r="E90" s="3" t="s">
        <v>235</v>
      </c>
      <c r="F90" s="5" t="s">
        <v>236</v>
      </c>
      <c r="G90" s="4" t="s">
        <v>237</v>
      </c>
      <c r="I90" s="3">
        <v>1</v>
      </c>
      <c r="J90" t="str">
        <f t="shared" si="9"/>
        <v>ตรงตามเนื้อหา</v>
      </c>
      <c r="K90" t="str">
        <f t="shared" si="11"/>
        <v>Keyword ตรง</v>
      </c>
    </row>
    <row r="91" spans="1:11" ht="13.2">
      <c r="A91" s="3"/>
      <c r="B91" s="3"/>
      <c r="D91" s="3" t="s">
        <v>238</v>
      </c>
      <c r="E91" s="5" t="s">
        <v>239</v>
      </c>
      <c r="I91" s="3"/>
    </row>
    <row r="92" spans="1:11" ht="13.2">
      <c r="A92" s="3"/>
      <c r="B92" s="3"/>
      <c r="D92" s="3"/>
      <c r="E92" s="3" t="s">
        <v>240</v>
      </c>
      <c r="F92" s="4" t="s">
        <v>241</v>
      </c>
      <c r="G92" s="4" t="s">
        <v>242</v>
      </c>
      <c r="I92" s="3">
        <v>1</v>
      </c>
      <c r="J92" t="str">
        <f t="shared" si="9"/>
        <v>ตรงตามเนื้อหา</v>
      </c>
      <c r="K92" t="str">
        <f t="shared" ref="K92:K93" si="12">IF(OR(I92=0,I92=1), "Keyword ตรง","Keyword คลุมเครือ")</f>
        <v>Keyword ตรง</v>
      </c>
    </row>
    <row r="93" spans="1:11" ht="13.2">
      <c r="A93" s="3"/>
      <c r="B93" s="3"/>
      <c r="D93" s="3"/>
      <c r="E93" s="3" t="s">
        <v>243</v>
      </c>
      <c r="F93" s="4" t="s">
        <v>244</v>
      </c>
      <c r="G93" s="4" t="s">
        <v>245</v>
      </c>
      <c r="I93" s="3">
        <v>1</v>
      </c>
      <c r="J93" t="str">
        <f t="shared" si="9"/>
        <v>ตรงตามเนื้อหา</v>
      </c>
      <c r="K93" t="str">
        <f t="shared" si="12"/>
        <v>Keyword ตรง</v>
      </c>
    </row>
    <row r="94" spans="1:11" ht="13.2">
      <c r="A94" s="3"/>
      <c r="B94" s="3">
        <v>2.2000000000000002</v>
      </c>
      <c r="C94" s="4" t="s">
        <v>246</v>
      </c>
      <c r="D94" s="3"/>
      <c r="E94" s="3"/>
      <c r="I94" s="3"/>
    </row>
    <row r="95" spans="1:11" ht="13.2">
      <c r="A95" s="3"/>
      <c r="B95" s="3"/>
      <c r="C95" s="4" t="s">
        <v>247</v>
      </c>
      <c r="D95" s="5" t="s">
        <v>248</v>
      </c>
      <c r="E95" s="3"/>
      <c r="I95" s="3"/>
    </row>
    <row r="96" spans="1:11" ht="13.2">
      <c r="A96" s="3"/>
      <c r="B96" s="3"/>
      <c r="D96" s="3" t="s">
        <v>249</v>
      </c>
      <c r="E96" s="5" t="s">
        <v>250</v>
      </c>
      <c r="G96" s="4" t="s">
        <v>251</v>
      </c>
      <c r="I96" s="3">
        <v>1</v>
      </c>
      <c r="J96" t="str">
        <f t="shared" si="9"/>
        <v>ตรงตามเนื้อหา</v>
      </c>
      <c r="K96" t="str">
        <f t="shared" ref="K96:K101" si="13">IF(OR(I96=0,I96=1), "Keyword ตรง","Keyword คลุมเครือ")</f>
        <v>Keyword ตรง</v>
      </c>
    </row>
    <row r="97" spans="1:11" ht="13.2">
      <c r="A97" s="3"/>
      <c r="B97" s="3"/>
      <c r="D97" s="3" t="s">
        <v>252</v>
      </c>
      <c r="E97" s="5" t="s">
        <v>253</v>
      </c>
      <c r="G97" s="4" t="s">
        <v>254</v>
      </c>
      <c r="I97" s="3">
        <v>1</v>
      </c>
      <c r="J97" t="str">
        <f t="shared" si="9"/>
        <v>ตรงตามเนื้อหา</v>
      </c>
      <c r="K97" t="str">
        <f t="shared" si="13"/>
        <v>Keyword ตรง</v>
      </c>
    </row>
    <row r="98" spans="1:11" ht="13.2">
      <c r="A98" s="3"/>
      <c r="B98" s="3"/>
      <c r="C98" s="4" t="s">
        <v>255</v>
      </c>
      <c r="D98" s="5" t="s">
        <v>256</v>
      </c>
      <c r="I98" s="3">
        <v>1</v>
      </c>
      <c r="J98" t="str">
        <f t="shared" si="9"/>
        <v>ตรงตามเนื้อหา</v>
      </c>
      <c r="K98" t="str">
        <f t="shared" si="13"/>
        <v>Keyword ตรง</v>
      </c>
    </row>
    <row r="99" spans="1:11" ht="13.2">
      <c r="A99" s="3"/>
      <c r="B99" s="3"/>
      <c r="D99" s="3" t="s">
        <v>257</v>
      </c>
      <c r="E99" s="4" t="s">
        <v>258</v>
      </c>
      <c r="G99" s="4" t="s">
        <v>259</v>
      </c>
      <c r="I99" s="3">
        <v>1</v>
      </c>
      <c r="J99" t="str">
        <f t="shared" si="9"/>
        <v>ตรงตามเนื้อหา</v>
      </c>
      <c r="K99" t="str">
        <f t="shared" si="13"/>
        <v>Keyword ตรง</v>
      </c>
    </row>
    <row r="100" spans="1:11" ht="13.2">
      <c r="A100" s="3"/>
      <c r="B100" s="3"/>
      <c r="D100" s="3" t="s">
        <v>260</v>
      </c>
      <c r="E100" s="4" t="s">
        <v>261</v>
      </c>
      <c r="G100" s="4" t="s">
        <v>259</v>
      </c>
      <c r="I100" s="3">
        <v>1</v>
      </c>
      <c r="J100" t="str">
        <f t="shared" si="9"/>
        <v>ตรงตามเนื้อหา</v>
      </c>
      <c r="K100" t="str">
        <f t="shared" si="13"/>
        <v>Keyword ตรง</v>
      </c>
    </row>
    <row r="101" spans="1:11" ht="13.2">
      <c r="A101" s="3"/>
      <c r="B101" s="3"/>
      <c r="D101" s="3" t="s">
        <v>262</v>
      </c>
      <c r="E101" s="4" t="s">
        <v>263</v>
      </c>
      <c r="G101" s="4" t="s">
        <v>264</v>
      </c>
      <c r="I101" s="3">
        <v>1</v>
      </c>
      <c r="J101" t="str">
        <f t="shared" si="9"/>
        <v>ตรงตามเนื้อหา</v>
      </c>
      <c r="K101" t="str">
        <f t="shared" si="13"/>
        <v>Keyword ตรง</v>
      </c>
    </row>
    <row r="102" spans="1:11" ht="13.2">
      <c r="A102" s="3"/>
      <c r="B102" s="3"/>
      <c r="C102" s="4" t="s">
        <v>265</v>
      </c>
      <c r="D102" s="5" t="s">
        <v>266</v>
      </c>
      <c r="I102" s="3"/>
    </row>
    <row r="103" spans="1:11" ht="13.2">
      <c r="A103" s="3"/>
      <c r="B103" s="3"/>
      <c r="D103" s="3" t="s">
        <v>267</v>
      </c>
      <c r="E103" s="5" t="s">
        <v>268</v>
      </c>
      <c r="I103" s="3"/>
    </row>
    <row r="104" spans="1:11" ht="13.2">
      <c r="A104" s="3"/>
      <c r="B104" s="3"/>
      <c r="D104" s="3"/>
      <c r="E104" s="4" t="s">
        <v>269</v>
      </c>
      <c r="F104" s="4" t="s">
        <v>270</v>
      </c>
      <c r="G104" s="4" t="s">
        <v>271</v>
      </c>
      <c r="I104" s="3">
        <v>1</v>
      </c>
      <c r="J104" t="str">
        <f t="shared" si="9"/>
        <v>ตรงตามเนื้อหา</v>
      </c>
      <c r="K104" t="str">
        <f t="shared" ref="K104:K107" si="14">IF(OR(I104=0,I104=1), "Keyword ตรง","Keyword คลุมเครือ")</f>
        <v>Keyword ตรง</v>
      </c>
    </row>
    <row r="105" spans="1:11" ht="13.2">
      <c r="A105" s="3"/>
      <c r="B105" s="3"/>
      <c r="D105" s="3"/>
      <c r="E105" s="4" t="s">
        <v>272</v>
      </c>
      <c r="F105" s="4" t="s">
        <v>273</v>
      </c>
      <c r="G105" s="4" t="s">
        <v>274</v>
      </c>
      <c r="I105" s="3">
        <v>1</v>
      </c>
      <c r="J105" t="str">
        <f t="shared" si="9"/>
        <v>ตรงตามเนื้อหา</v>
      </c>
      <c r="K105" t="str">
        <f t="shared" si="14"/>
        <v>Keyword ตรง</v>
      </c>
    </row>
    <row r="106" spans="1:11" ht="13.2">
      <c r="A106" s="3"/>
      <c r="B106" s="3"/>
      <c r="D106" s="3"/>
      <c r="E106" s="4" t="s">
        <v>275</v>
      </c>
      <c r="F106" s="4" t="s">
        <v>276</v>
      </c>
      <c r="G106" s="4" t="s">
        <v>277</v>
      </c>
      <c r="I106" s="3">
        <v>1</v>
      </c>
      <c r="J106" t="str">
        <f t="shared" si="9"/>
        <v>ตรงตามเนื้อหา</v>
      </c>
      <c r="K106" t="str">
        <f t="shared" si="14"/>
        <v>Keyword ตรง</v>
      </c>
    </row>
    <row r="107" spans="1:11" ht="13.2">
      <c r="A107" s="3"/>
      <c r="B107" s="3"/>
      <c r="D107" s="3"/>
      <c r="E107" s="4" t="s">
        <v>278</v>
      </c>
      <c r="F107" s="4" t="s">
        <v>279</v>
      </c>
      <c r="G107" s="4" t="s">
        <v>280</v>
      </c>
      <c r="I107" s="3">
        <v>1</v>
      </c>
      <c r="J107" t="str">
        <f t="shared" si="9"/>
        <v>ตรงตามเนื้อหา</v>
      </c>
      <c r="K107" t="str">
        <f t="shared" si="14"/>
        <v>Keyword ตรง</v>
      </c>
    </row>
    <row r="108" spans="1:11" ht="13.2">
      <c r="A108" s="3"/>
      <c r="B108" s="3"/>
      <c r="D108" s="3" t="s">
        <v>281</v>
      </c>
      <c r="E108" s="5" t="s">
        <v>282</v>
      </c>
      <c r="I108" s="3"/>
    </row>
    <row r="109" spans="1:11" ht="13.2">
      <c r="A109" s="3"/>
      <c r="B109" s="3"/>
      <c r="D109" s="3"/>
      <c r="E109" s="3" t="s">
        <v>283</v>
      </c>
      <c r="F109" s="4" t="s">
        <v>284</v>
      </c>
      <c r="G109" s="4" t="s">
        <v>285</v>
      </c>
      <c r="I109" s="3">
        <v>1</v>
      </c>
      <c r="J109" t="str">
        <f t="shared" si="9"/>
        <v>ตรงตามเนื้อหา</v>
      </c>
      <c r="K109" t="str">
        <f t="shared" ref="K109:K114" si="15">IF(OR(I109=0,I109=1), "Keyword ตรง","Keyword คลุมเครือ")</f>
        <v>Keyword ตรง</v>
      </c>
    </row>
    <row r="110" spans="1:11" ht="13.2">
      <c r="A110" s="3"/>
      <c r="B110" s="3"/>
      <c r="D110" s="3"/>
      <c r="E110" s="3" t="s">
        <v>286</v>
      </c>
      <c r="F110" s="4" t="s">
        <v>287</v>
      </c>
      <c r="G110" s="4" t="s">
        <v>288</v>
      </c>
      <c r="I110" s="3">
        <v>1</v>
      </c>
      <c r="J110" t="str">
        <f t="shared" si="9"/>
        <v>ตรงตามเนื้อหา</v>
      </c>
      <c r="K110" t="str">
        <f t="shared" si="15"/>
        <v>Keyword ตรง</v>
      </c>
    </row>
    <row r="111" spans="1:11" ht="13.2">
      <c r="A111" s="3"/>
      <c r="B111" s="3"/>
      <c r="D111" s="3"/>
      <c r="E111" s="3" t="s">
        <v>289</v>
      </c>
      <c r="F111" s="4" t="s">
        <v>290</v>
      </c>
      <c r="G111" s="4" t="s">
        <v>291</v>
      </c>
      <c r="I111" s="3">
        <v>1</v>
      </c>
      <c r="J111" t="str">
        <f t="shared" si="9"/>
        <v>ตรงตามเนื้อหา</v>
      </c>
      <c r="K111" t="str">
        <f t="shared" si="15"/>
        <v>Keyword ตรง</v>
      </c>
    </row>
    <row r="112" spans="1:11" ht="13.2">
      <c r="A112" s="3"/>
      <c r="B112" s="3"/>
      <c r="D112" s="3"/>
      <c r="E112" s="3" t="s">
        <v>292</v>
      </c>
      <c r="F112" s="4" t="s">
        <v>293</v>
      </c>
      <c r="G112" s="4" t="s">
        <v>294</v>
      </c>
      <c r="I112" s="3">
        <v>1</v>
      </c>
      <c r="J112" t="str">
        <f t="shared" si="9"/>
        <v>ตรงตามเนื้อหา</v>
      </c>
      <c r="K112" t="str">
        <f t="shared" si="15"/>
        <v>Keyword ตรง</v>
      </c>
    </row>
    <row r="113" spans="1:11" ht="13.2">
      <c r="A113" s="3"/>
      <c r="B113" s="3"/>
      <c r="D113" s="3"/>
      <c r="E113" s="3" t="s">
        <v>295</v>
      </c>
      <c r="F113" s="4" t="s">
        <v>296</v>
      </c>
      <c r="G113" s="4" t="s">
        <v>297</v>
      </c>
      <c r="I113" s="3">
        <v>1</v>
      </c>
      <c r="J113" t="str">
        <f t="shared" si="9"/>
        <v>ตรงตามเนื้อหา</v>
      </c>
      <c r="K113" t="str">
        <f t="shared" si="15"/>
        <v>Keyword ตรง</v>
      </c>
    </row>
    <row r="114" spans="1:11" ht="13.2">
      <c r="A114" s="3"/>
      <c r="B114" s="3"/>
      <c r="D114" s="3"/>
      <c r="E114" s="3" t="s">
        <v>298</v>
      </c>
      <c r="F114" s="4" t="s">
        <v>299</v>
      </c>
      <c r="G114" s="4" t="s">
        <v>300</v>
      </c>
      <c r="I114" s="3">
        <v>1</v>
      </c>
      <c r="J114" t="str">
        <f t="shared" si="9"/>
        <v>ตรงตามเนื้อหา</v>
      </c>
      <c r="K114" t="str">
        <f t="shared" si="15"/>
        <v>Keyword ตรง</v>
      </c>
    </row>
    <row r="115" spans="1:11" ht="13.2">
      <c r="A115" s="3"/>
      <c r="B115" s="3">
        <v>2.2999999999999998</v>
      </c>
      <c r="C115" s="4" t="s">
        <v>301</v>
      </c>
      <c r="D115" s="3"/>
      <c r="E115" s="3"/>
      <c r="I115" s="3"/>
    </row>
    <row r="116" spans="1:11" ht="13.2">
      <c r="A116" s="3"/>
      <c r="B116" s="3"/>
      <c r="C116" s="4" t="s">
        <v>302</v>
      </c>
      <c r="D116" s="5" t="s">
        <v>303</v>
      </c>
      <c r="I116" s="3"/>
    </row>
    <row r="117" spans="1:11" ht="13.2">
      <c r="A117" s="3"/>
      <c r="B117" s="3"/>
      <c r="D117" s="3" t="s">
        <v>304</v>
      </c>
      <c r="E117" s="4" t="s">
        <v>305</v>
      </c>
      <c r="G117" s="4" t="s">
        <v>306</v>
      </c>
      <c r="I117" s="3">
        <v>1</v>
      </c>
      <c r="J117" t="str">
        <f t="shared" si="9"/>
        <v>ตรงตามเนื้อหา</v>
      </c>
      <c r="K117" t="str">
        <f t="shared" ref="K117" si="16">IF(OR(I117=0,I117=1), "Keyword ตรง","Keyword คลุมเครือ")</f>
        <v>Keyword ตรง</v>
      </c>
    </row>
    <row r="118" spans="1:11" ht="13.2">
      <c r="A118" s="3"/>
      <c r="B118" s="3"/>
      <c r="D118" s="3" t="s">
        <v>307</v>
      </c>
      <c r="E118" s="4" t="s">
        <v>308</v>
      </c>
      <c r="I118" s="3"/>
    </row>
    <row r="119" spans="1:11" ht="13.2">
      <c r="A119" s="3"/>
      <c r="B119" s="3"/>
      <c r="D119" s="3"/>
      <c r="E119" s="3" t="s">
        <v>309</v>
      </c>
      <c r="F119" s="4" t="s">
        <v>310</v>
      </c>
      <c r="G119" s="4" t="s">
        <v>311</v>
      </c>
      <c r="I119" s="3">
        <v>1</v>
      </c>
      <c r="J119" t="str">
        <f t="shared" si="9"/>
        <v>ตรงตามเนื้อหา</v>
      </c>
      <c r="K119" t="str">
        <f t="shared" ref="K119:K129" si="17">IF(OR(I119=0,I119=1), "Keyword ตรง","Keyword คลุมเครือ")</f>
        <v>Keyword ตรง</v>
      </c>
    </row>
    <row r="120" spans="1:11" ht="13.2">
      <c r="A120" s="3"/>
      <c r="B120" s="3"/>
      <c r="D120" s="3"/>
      <c r="E120" s="3" t="s">
        <v>312</v>
      </c>
      <c r="F120" s="4" t="s">
        <v>313</v>
      </c>
      <c r="G120" s="4" t="s">
        <v>314</v>
      </c>
      <c r="I120" s="3">
        <v>1</v>
      </c>
      <c r="J120" t="str">
        <f t="shared" si="9"/>
        <v>ตรงตามเนื้อหา</v>
      </c>
      <c r="K120" t="str">
        <f t="shared" si="17"/>
        <v>Keyword ตรง</v>
      </c>
    </row>
    <row r="121" spans="1:11" ht="13.2">
      <c r="A121" s="3"/>
      <c r="B121" s="3"/>
      <c r="D121" s="3"/>
      <c r="E121" s="3" t="s">
        <v>315</v>
      </c>
      <c r="F121" s="4" t="s">
        <v>316</v>
      </c>
      <c r="G121" s="4" t="s">
        <v>317</v>
      </c>
      <c r="I121" s="3">
        <v>1</v>
      </c>
      <c r="J121" t="str">
        <f t="shared" si="9"/>
        <v>ตรงตามเนื้อหา</v>
      </c>
      <c r="K121" t="str">
        <f t="shared" si="17"/>
        <v>Keyword ตรง</v>
      </c>
    </row>
    <row r="122" spans="1:11" ht="13.2">
      <c r="A122" s="3"/>
      <c r="B122" s="3"/>
      <c r="D122" s="3" t="s">
        <v>318</v>
      </c>
      <c r="E122" s="4" t="s">
        <v>319</v>
      </c>
      <c r="G122" s="4" t="s">
        <v>320</v>
      </c>
      <c r="I122" s="3">
        <v>1</v>
      </c>
      <c r="J122" t="str">
        <f t="shared" si="9"/>
        <v>ตรงตามเนื้อหา</v>
      </c>
      <c r="K122" t="str">
        <f t="shared" si="17"/>
        <v>Keyword ตรง</v>
      </c>
    </row>
    <row r="123" spans="1:11" ht="13.2">
      <c r="A123" s="3"/>
      <c r="B123" s="3"/>
      <c r="D123" s="3" t="s">
        <v>321</v>
      </c>
      <c r="E123" s="4" t="s">
        <v>322</v>
      </c>
      <c r="G123" s="4" t="s">
        <v>323</v>
      </c>
      <c r="I123" s="3">
        <v>1</v>
      </c>
      <c r="J123" t="str">
        <f t="shared" si="9"/>
        <v>ตรงตามเนื้อหา</v>
      </c>
      <c r="K123" t="str">
        <f t="shared" si="17"/>
        <v>Keyword ตรง</v>
      </c>
    </row>
    <row r="124" spans="1:11" ht="13.2">
      <c r="A124" s="3"/>
      <c r="B124" s="3"/>
      <c r="D124" s="3" t="s">
        <v>324</v>
      </c>
      <c r="E124" s="4" t="s">
        <v>325</v>
      </c>
      <c r="G124" s="4" t="s">
        <v>326</v>
      </c>
      <c r="I124" s="3">
        <v>1</v>
      </c>
      <c r="J124" t="str">
        <f t="shared" si="9"/>
        <v>ตรงตามเนื้อหา</v>
      </c>
      <c r="K124" t="str">
        <f t="shared" si="17"/>
        <v>Keyword ตรง</v>
      </c>
    </row>
    <row r="125" spans="1:11" ht="13.2">
      <c r="A125" s="3"/>
      <c r="B125" s="3"/>
      <c r="D125" s="3" t="s">
        <v>327</v>
      </c>
      <c r="E125" s="4" t="s">
        <v>328</v>
      </c>
      <c r="G125" s="4" t="s">
        <v>329</v>
      </c>
      <c r="I125" s="3">
        <v>1</v>
      </c>
      <c r="J125" t="str">
        <f t="shared" si="9"/>
        <v>ตรงตามเนื้อหา</v>
      </c>
      <c r="K125" t="str">
        <f t="shared" si="17"/>
        <v>Keyword ตรง</v>
      </c>
    </row>
    <row r="126" spans="1:11" ht="13.2">
      <c r="A126" s="3"/>
      <c r="B126" s="3"/>
      <c r="D126" s="3" t="s">
        <v>330</v>
      </c>
      <c r="E126" s="4" t="s">
        <v>331</v>
      </c>
      <c r="G126" s="4" t="s">
        <v>332</v>
      </c>
      <c r="I126" s="3">
        <v>1</v>
      </c>
      <c r="J126" t="str">
        <f t="shared" si="9"/>
        <v>ตรงตามเนื้อหา</v>
      </c>
      <c r="K126" t="str">
        <f t="shared" si="17"/>
        <v>Keyword ตรง</v>
      </c>
    </row>
    <row r="127" spans="1:11" ht="13.2">
      <c r="A127" s="3"/>
      <c r="B127" s="3"/>
      <c r="C127" s="4" t="s">
        <v>333</v>
      </c>
      <c r="D127" s="5" t="s">
        <v>334</v>
      </c>
      <c r="G127" s="4" t="s">
        <v>335</v>
      </c>
      <c r="I127" s="3">
        <v>1</v>
      </c>
      <c r="J127" t="str">
        <f t="shared" si="9"/>
        <v>ตรงตามเนื้อหา</v>
      </c>
      <c r="K127" t="str">
        <f t="shared" si="17"/>
        <v>Keyword ตรง</v>
      </c>
    </row>
    <row r="128" spans="1:11" ht="13.2">
      <c r="A128" s="3"/>
      <c r="B128" s="3"/>
      <c r="D128" s="3" t="s">
        <v>336</v>
      </c>
      <c r="E128" s="5" t="s">
        <v>337</v>
      </c>
      <c r="G128" s="4" t="s">
        <v>338</v>
      </c>
      <c r="I128" s="3">
        <v>1</v>
      </c>
      <c r="J128" t="str">
        <f t="shared" si="9"/>
        <v>ตรงตามเนื้อหา</v>
      </c>
      <c r="K128" t="str">
        <f t="shared" si="17"/>
        <v>Keyword ตรง</v>
      </c>
    </row>
    <row r="129" spans="1:11" ht="13.2">
      <c r="A129" s="3"/>
      <c r="B129" s="3"/>
      <c r="D129" s="3" t="s">
        <v>339</v>
      </c>
      <c r="E129" s="4" t="s">
        <v>340</v>
      </c>
      <c r="G129" s="4" t="s">
        <v>341</v>
      </c>
      <c r="I129" s="3">
        <v>1</v>
      </c>
      <c r="J129" t="str">
        <f t="shared" si="9"/>
        <v>ตรงตามเนื้อหา</v>
      </c>
      <c r="K129" t="str">
        <f t="shared" si="17"/>
        <v>Keyword ตรง</v>
      </c>
    </row>
    <row r="130" spans="1:11" ht="13.2">
      <c r="A130" s="3"/>
      <c r="B130" s="3">
        <v>2.4</v>
      </c>
      <c r="C130" s="4" t="s">
        <v>342</v>
      </c>
      <c r="D130" s="3"/>
      <c r="I130" s="3"/>
    </row>
    <row r="131" spans="1:11" ht="13.2">
      <c r="A131" s="3"/>
      <c r="B131" s="3"/>
      <c r="C131" s="4" t="s">
        <v>343</v>
      </c>
      <c r="D131" s="4" t="s">
        <v>342</v>
      </c>
      <c r="I131" s="3"/>
    </row>
    <row r="132" spans="1:11" ht="13.2">
      <c r="A132" s="3"/>
      <c r="B132" s="3"/>
      <c r="C132" s="4"/>
      <c r="D132" s="4" t="s">
        <v>344</v>
      </c>
      <c r="E132" s="4" t="s">
        <v>345</v>
      </c>
      <c r="G132" s="4" t="s">
        <v>346</v>
      </c>
      <c r="I132" s="3">
        <v>1</v>
      </c>
      <c r="J132" t="str">
        <f t="shared" si="9"/>
        <v>ตรงตามเนื้อหา</v>
      </c>
      <c r="K132" t="str">
        <f t="shared" ref="K132:K134" si="18">IF(OR(I132=0,I132=1), "Keyword ตรง","Keyword คลุมเครือ")</f>
        <v>Keyword ตรง</v>
      </c>
    </row>
    <row r="133" spans="1:11" ht="13.2">
      <c r="A133" s="3"/>
      <c r="B133" s="3"/>
      <c r="C133" s="4"/>
      <c r="D133" s="4" t="s">
        <v>347</v>
      </c>
      <c r="E133" s="4" t="s">
        <v>348</v>
      </c>
      <c r="G133" s="4" t="s">
        <v>349</v>
      </c>
      <c r="I133" s="3">
        <v>1</v>
      </c>
      <c r="J133" t="str">
        <f t="shared" si="9"/>
        <v>ตรงตามเนื้อหา</v>
      </c>
      <c r="K133" t="str">
        <f t="shared" si="18"/>
        <v>Keyword ตรง</v>
      </c>
    </row>
    <row r="134" spans="1:11" ht="13.2">
      <c r="A134" s="3"/>
      <c r="B134" s="3"/>
      <c r="C134" s="4"/>
      <c r="D134" s="4" t="s">
        <v>350</v>
      </c>
      <c r="E134" s="4" t="s">
        <v>351</v>
      </c>
      <c r="G134" s="4" t="s">
        <v>352</v>
      </c>
      <c r="I134" s="3">
        <v>1</v>
      </c>
      <c r="J134" t="str">
        <f t="shared" si="9"/>
        <v>ตรงตามเนื้อหา</v>
      </c>
      <c r="K134" t="str">
        <f t="shared" si="18"/>
        <v>Keyword ตรง</v>
      </c>
    </row>
    <row r="135" spans="1:11" ht="13.2">
      <c r="A135" s="3"/>
      <c r="B135" s="3"/>
      <c r="C135" s="4"/>
      <c r="D135" s="4" t="s">
        <v>353</v>
      </c>
      <c r="E135" s="4" t="s">
        <v>354</v>
      </c>
      <c r="G135" s="4" t="s">
        <v>355</v>
      </c>
      <c r="I135" s="3"/>
    </row>
    <row r="136" spans="1:11" ht="13.2">
      <c r="A136" s="3"/>
      <c r="B136" s="3"/>
      <c r="C136" s="4" t="s">
        <v>356</v>
      </c>
      <c r="D136" s="5" t="s">
        <v>357</v>
      </c>
      <c r="I136" s="3"/>
    </row>
    <row r="137" spans="1:11" ht="13.2">
      <c r="A137" s="3"/>
      <c r="B137" s="3"/>
      <c r="C137" s="4"/>
      <c r="D137" s="3" t="s">
        <v>358</v>
      </c>
      <c r="E137" s="4" t="s">
        <v>359</v>
      </c>
      <c r="I137" s="3">
        <v>1</v>
      </c>
      <c r="J137" t="str">
        <f t="shared" ref="J137:J199" si="19">IF(OR(I137=1,I137=2), "ตรงตามเนื้อหา","ไม่ตรงตามเนื้อหา")</f>
        <v>ตรงตามเนื้อหา</v>
      </c>
      <c r="K137" t="str">
        <f t="shared" ref="K137:K140" si="20">IF(OR(I137=0,I137=1), "Keyword ตรง","Keyword คลุมเครือ")</f>
        <v>Keyword ตรง</v>
      </c>
    </row>
    <row r="138" spans="1:11" ht="13.2">
      <c r="A138" s="3"/>
      <c r="B138" s="3"/>
      <c r="C138" s="4"/>
      <c r="D138" s="3"/>
      <c r="E138" s="3" t="s">
        <v>360</v>
      </c>
      <c r="F138" s="4" t="s">
        <v>361</v>
      </c>
      <c r="G138" s="4" t="s">
        <v>362</v>
      </c>
      <c r="I138" s="3">
        <v>1</v>
      </c>
      <c r="J138" t="str">
        <f t="shared" si="19"/>
        <v>ตรงตามเนื้อหา</v>
      </c>
      <c r="K138" t="str">
        <f t="shared" si="20"/>
        <v>Keyword ตรง</v>
      </c>
    </row>
    <row r="139" spans="1:11" ht="13.2">
      <c r="A139" s="3"/>
      <c r="B139" s="3"/>
      <c r="C139" s="4"/>
      <c r="D139" s="3"/>
      <c r="E139" s="3" t="s">
        <v>363</v>
      </c>
      <c r="F139" s="4" t="s">
        <v>364</v>
      </c>
      <c r="G139" s="4" t="s">
        <v>365</v>
      </c>
      <c r="I139" s="3">
        <v>1</v>
      </c>
      <c r="J139" t="str">
        <f t="shared" si="19"/>
        <v>ตรงตามเนื้อหา</v>
      </c>
      <c r="K139" t="str">
        <f t="shared" si="20"/>
        <v>Keyword ตรง</v>
      </c>
    </row>
    <row r="140" spans="1:11" ht="13.2">
      <c r="A140" s="3"/>
      <c r="B140" s="3"/>
      <c r="C140" s="4"/>
      <c r="D140" s="3"/>
      <c r="E140" s="3" t="s">
        <v>366</v>
      </c>
      <c r="F140" s="4" t="s">
        <v>367</v>
      </c>
      <c r="G140" s="4" t="s">
        <v>368</v>
      </c>
      <c r="I140" s="3">
        <v>1</v>
      </c>
      <c r="J140" t="str">
        <f t="shared" si="19"/>
        <v>ตรงตามเนื้อหา</v>
      </c>
      <c r="K140" t="str">
        <f t="shared" si="20"/>
        <v>Keyword ตรง</v>
      </c>
    </row>
    <row r="141" spans="1:11" ht="13.2">
      <c r="A141" s="3"/>
      <c r="B141" s="3"/>
      <c r="C141" s="4"/>
      <c r="D141" s="3" t="s">
        <v>369</v>
      </c>
      <c r="E141" s="4" t="s">
        <v>370</v>
      </c>
      <c r="I141" s="3"/>
    </row>
    <row r="142" spans="1:11" ht="13.2">
      <c r="A142" s="3"/>
      <c r="B142" s="3"/>
      <c r="C142" s="4"/>
      <c r="D142" s="5"/>
      <c r="E142" s="3" t="s">
        <v>371</v>
      </c>
      <c r="F142" s="4" t="s">
        <v>372</v>
      </c>
      <c r="G142" s="4" t="s">
        <v>373</v>
      </c>
      <c r="I142" s="3">
        <v>1</v>
      </c>
      <c r="J142" t="str">
        <f t="shared" si="19"/>
        <v>ตรงตามเนื้อหา</v>
      </c>
      <c r="K142" t="str">
        <f t="shared" ref="K142:K145" si="21">IF(OR(I142=0,I142=1), "Keyword ตรง","Keyword คลุมเครือ")</f>
        <v>Keyword ตรง</v>
      </c>
    </row>
    <row r="143" spans="1:11" ht="13.2">
      <c r="A143" s="3"/>
      <c r="B143" s="3"/>
      <c r="C143" s="4"/>
      <c r="D143" s="5"/>
      <c r="E143" s="3" t="s">
        <v>374</v>
      </c>
      <c r="F143" s="4" t="s">
        <v>375</v>
      </c>
      <c r="G143" s="4" t="s">
        <v>376</v>
      </c>
      <c r="I143" s="3">
        <v>1</v>
      </c>
      <c r="J143" t="str">
        <f t="shared" si="19"/>
        <v>ตรงตามเนื้อหา</v>
      </c>
      <c r="K143" t="str">
        <f t="shared" si="21"/>
        <v>Keyword ตรง</v>
      </c>
    </row>
    <row r="144" spans="1:11" ht="13.2">
      <c r="A144" s="3"/>
      <c r="B144" s="3"/>
      <c r="C144" s="4"/>
      <c r="D144" s="5"/>
      <c r="E144" s="3" t="s">
        <v>377</v>
      </c>
      <c r="F144" s="4" t="s">
        <v>378</v>
      </c>
      <c r="G144" s="4" t="s">
        <v>379</v>
      </c>
      <c r="I144" s="3">
        <v>1</v>
      </c>
      <c r="J144" t="str">
        <f t="shared" si="19"/>
        <v>ตรงตามเนื้อหา</v>
      </c>
      <c r="K144" t="str">
        <f t="shared" si="21"/>
        <v>Keyword ตรง</v>
      </c>
    </row>
    <row r="145" spans="1:11" ht="13.2">
      <c r="A145" s="3"/>
      <c r="B145" s="3"/>
      <c r="C145" s="4"/>
      <c r="D145" s="5"/>
      <c r="E145" s="3" t="s">
        <v>380</v>
      </c>
      <c r="F145" s="4" t="s">
        <v>381</v>
      </c>
      <c r="G145" s="4" t="s">
        <v>382</v>
      </c>
      <c r="I145" s="3">
        <v>1</v>
      </c>
      <c r="J145" t="str">
        <f t="shared" si="19"/>
        <v>ตรงตามเนื้อหา</v>
      </c>
      <c r="K145" t="str">
        <f t="shared" si="21"/>
        <v>Keyword ตรง</v>
      </c>
    </row>
    <row r="146" spans="1:11" ht="13.2">
      <c r="A146" s="3"/>
      <c r="B146" s="3"/>
      <c r="C146" s="4" t="s">
        <v>383</v>
      </c>
      <c r="D146" s="5" t="s">
        <v>384</v>
      </c>
      <c r="I146" s="3"/>
    </row>
    <row r="147" spans="1:11" ht="13.2">
      <c r="A147" s="3"/>
      <c r="B147" s="3"/>
      <c r="C147" s="4"/>
      <c r="D147" s="3" t="s">
        <v>385</v>
      </c>
      <c r="E147" s="4" t="s">
        <v>386</v>
      </c>
      <c r="G147" s="4" t="s">
        <v>387</v>
      </c>
      <c r="I147" s="3">
        <v>1</v>
      </c>
      <c r="J147" t="str">
        <f t="shared" si="19"/>
        <v>ตรงตามเนื้อหา</v>
      </c>
      <c r="K147" t="str">
        <f t="shared" ref="K147:K150" si="22">IF(OR(I147=0,I147=1), "Keyword ตรง","Keyword คลุมเครือ")</f>
        <v>Keyword ตรง</v>
      </c>
    </row>
    <row r="148" spans="1:11" ht="13.2">
      <c r="A148" s="3"/>
      <c r="B148" s="3"/>
      <c r="C148" s="4"/>
      <c r="D148" s="3" t="s">
        <v>388</v>
      </c>
      <c r="E148" s="4" t="s">
        <v>389</v>
      </c>
      <c r="G148" s="4" t="s">
        <v>390</v>
      </c>
      <c r="I148" s="3">
        <v>1</v>
      </c>
      <c r="J148" t="str">
        <f t="shared" si="19"/>
        <v>ตรงตามเนื้อหา</v>
      </c>
      <c r="K148" t="str">
        <f t="shared" si="22"/>
        <v>Keyword ตรง</v>
      </c>
    </row>
    <row r="149" spans="1:11" ht="13.2">
      <c r="A149" s="3"/>
      <c r="B149" s="3"/>
      <c r="C149" s="4"/>
      <c r="D149" s="3" t="s">
        <v>391</v>
      </c>
      <c r="E149" s="4" t="s">
        <v>392</v>
      </c>
      <c r="G149" s="4" t="s">
        <v>393</v>
      </c>
      <c r="I149" s="3">
        <v>1</v>
      </c>
      <c r="J149" t="str">
        <f t="shared" si="19"/>
        <v>ตรงตามเนื้อหา</v>
      </c>
      <c r="K149" t="str">
        <f t="shared" si="22"/>
        <v>Keyword ตรง</v>
      </c>
    </row>
    <row r="150" spans="1:11" ht="13.2">
      <c r="A150" s="3"/>
      <c r="B150" s="3"/>
      <c r="C150" s="4" t="s">
        <v>394</v>
      </c>
      <c r="D150" s="5" t="s">
        <v>395</v>
      </c>
      <c r="G150" s="4" t="s">
        <v>396</v>
      </c>
      <c r="I150" s="3">
        <v>1</v>
      </c>
      <c r="J150" t="str">
        <f t="shared" si="19"/>
        <v>ตรงตามเนื้อหา</v>
      </c>
      <c r="K150" t="str">
        <f t="shared" si="22"/>
        <v>Keyword ตรง</v>
      </c>
    </row>
    <row r="151" spans="1:11" ht="13.2">
      <c r="A151" s="3"/>
      <c r="B151" s="3"/>
      <c r="C151" s="4"/>
      <c r="D151" s="3" t="s">
        <v>397</v>
      </c>
      <c r="E151" s="4" t="s">
        <v>398</v>
      </c>
      <c r="I151" s="3"/>
    </row>
    <row r="152" spans="1:11" ht="13.2">
      <c r="A152" s="3"/>
      <c r="B152" s="3"/>
      <c r="C152" s="4"/>
      <c r="D152" s="3"/>
      <c r="E152" s="3" t="s">
        <v>399</v>
      </c>
      <c r="F152" s="4" t="s">
        <v>400</v>
      </c>
      <c r="G152" s="4" t="s">
        <v>401</v>
      </c>
      <c r="I152" s="3">
        <v>1</v>
      </c>
      <c r="J152" t="str">
        <f t="shared" si="19"/>
        <v>ตรงตามเนื้อหา</v>
      </c>
      <c r="K152" t="str">
        <f t="shared" ref="K152:K162" si="23">IF(OR(I152=0,I152=1), "Keyword ตรง","Keyword คลุมเครือ")</f>
        <v>Keyword ตรง</v>
      </c>
    </row>
    <row r="153" spans="1:11" ht="13.2">
      <c r="A153" s="3"/>
      <c r="B153" s="3"/>
      <c r="C153" s="4"/>
      <c r="D153" s="3"/>
      <c r="E153" s="3" t="s">
        <v>402</v>
      </c>
      <c r="F153" s="4" t="s">
        <v>403</v>
      </c>
      <c r="G153" s="4" t="s">
        <v>404</v>
      </c>
      <c r="I153" s="3">
        <v>1</v>
      </c>
      <c r="J153" t="str">
        <f t="shared" si="19"/>
        <v>ตรงตามเนื้อหา</v>
      </c>
      <c r="K153" t="str">
        <f t="shared" si="23"/>
        <v>Keyword ตรง</v>
      </c>
    </row>
    <row r="154" spans="1:11" ht="13.2">
      <c r="A154" s="3"/>
      <c r="B154" s="3"/>
      <c r="C154" s="4"/>
      <c r="D154" s="3"/>
      <c r="E154" s="3" t="s">
        <v>405</v>
      </c>
      <c r="F154" s="4" t="s">
        <v>406</v>
      </c>
      <c r="G154" s="4" t="s">
        <v>407</v>
      </c>
      <c r="I154" s="3">
        <v>1</v>
      </c>
      <c r="J154" t="str">
        <f t="shared" si="19"/>
        <v>ตรงตามเนื้อหา</v>
      </c>
      <c r="K154" t="str">
        <f t="shared" si="23"/>
        <v>Keyword ตรง</v>
      </c>
    </row>
    <row r="155" spans="1:11" ht="13.2">
      <c r="A155" s="3"/>
      <c r="B155" s="3"/>
      <c r="C155" s="4"/>
      <c r="D155" s="3" t="s">
        <v>408</v>
      </c>
      <c r="E155" s="4" t="s">
        <v>409</v>
      </c>
      <c r="G155" s="4" t="s">
        <v>410</v>
      </c>
      <c r="I155" s="3">
        <v>1</v>
      </c>
      <c r="J155" t="str">
        <f t="shared" si="19"/>
        <v>ตรงตามเนื้อหา</v>
      </c>
      <c r="K155" t="str">
        <f t="shared" si="23"/>
        <v>Keyword ตรง</v>
      </c>
    </row>
    <row r="156" spans="1:11" ht="13.2">
      <c r="A156" s="3"/>
      <c r="B156" s="3"/>
      <c r="C156" s="4"/>
      <c r="D156" s="3" t="s">
        <v>411</v>
      </c>
      <c r="E156" s="4" t="s">
        <v>412</v>
      </c>
      <c r="G156" s="4" t="s">
        <v>413</v>
      </c>
      <c r="I156" s="3">
        <v>1</v>
      </c>
      <c r="J156" t="str">
        <f t="shared" si="19"/>
        <v>ตรงตามเนื้อหา</v>
      </c>
      <c r="K156" t="str">
        <f t="shared" si="23"/>
        <v>Keyword ตรง</v>
      </c>
    </row>
    <row r="157" spans="1:11" ht="13.2">
      <c r="A157" s="3"/>
      <c r="B157" s="3"/>
      <c r="C157" s="4"/>
      <c r="D157" s="3" t="s">
        <v>414</v>
      </c>
      <c r="E157" s="4" t="s">
        <v>415</v>
      </c>
      <c r="G157" s="4" t="s">
        <v>416</v>
      </c>
      <c r="I157" s="3">
        <v>1</v>
      </c>
      <c r="J157" t="str">
        <f t="shared" si="19"/>
        <v>ตรงตามเนื้อหา</v>
      </c>
      <c r="K157" t="str">
        <f t="shared" si="23"/>
        <v>Keyword ตรง</v>
      </c>
    </row>
    <row r="158" spans="1:11" ht="13.2">
      <c r="A158" s="3"/>
      <c r="B158" s="3"/>
      <c r="C158" s="4"/>
      <c r="D158" s="3" t="s">
        <v>417</v>
      </c>
      <c r="E158" s="4" t="s">
        <v>418</v>
      </c>
      <c r="G158" s="4" t="s">
        <v>419</v>
      </c>
      <c r="I158" s="3">
        <v>1</v>
      </c>
      <c r="J158" t="str">
        <f t="shared" si="19"/>
        <v>ตรงตามเนื้อหา</v>
      </c>
      <c r="K158" t="str">
        <f t="shared" si="23"/>
        <v>Keyword ตรง</v>
      </c>
    </row>
    <row r="159" spans="1:11" ht="13.2">
      <c r="A159" s="3"/>
      <c r="B159" s="3"/>
      <c r="C159" s="4"/>
      <c r="D159" s="3" t="s">
        <v>420</v>
      </c>
      <c r="E159" s="4" t="s">
        <v>421</v>
      </c>
      <c r="G159" s="4" t="s">
        <v>422</v>
      </c>
      <c r="I159" s="3">
        <v>1</v>
      </c>
      <c r="J159" t="str">
        <f t="shared" si="19"/>
        <v>ตรงตามเนื้อหา</v>
      </c>
      <c r="K159" t="str">
        <f t="shared" si="23"/>
        <v>Keyword ตรง</v>
      </c>
    </row>
    <row r="160" spans="1:11" ht="13.2">
      <c r="A160" s="3"/>
      <c r="B160" s="3"/>
      <c r="C160" s="4" t="s">
        <v>423</v>
      </c>
      <c r="D160" s="5" t="s">
        <v>424</v>
      </c>
      <c r="G160" s="4" t="s">
        <v>425</v>
      </c>
      <c r="I160" s="3">
        <v>1</v>
      </c>
      <c r="J160" t="str">
        <f t="shared" si="19"/>
        <v>ตรงตามเนื้อหา</v>
      </c>
      <c r="K160" t="str">
        <f t="shared" si="23"/>
        <v>Keyword ตรง</v>
      </c>
    </row>
    <row r="161" spans="1:11" ht="13.2">
      <c r="A161" s="3"/>
      <c r="B161" s="3"/>
      <c r="C161" s="4"/>
      <c r="D161" s="3" t="s">
        <v>426</v>
      </c>
      <c r="E161" s="4" t="s">
        <v>427</v>
      </c>
      <c r="G161" s="4" t="s">
        <v>428</v>
      </c>
      <c r="I161" s="3">
        <v>1</v>
      </c>
      <c r="J161" t="str">
        <f t="shared" si="19"/>
        <v>ตรงตามเนื้อหา</v>
      </c>
      <c r="K161" t="str">
        <f t="shared" si="23"/>
        <v>Keyword ตรง</v>
      </c>
    </row>
    <row r="162" spans="1:11" ht="13.2">
      <c r="A162" s="3"/>
      <c r="B162" s="3"/>
      <c r="C162" s="4" t="s">
        <v>429</v>
      </c>
      <c r="D162" s="5" t="s">
        <v>430</v>
      </c>
      <c r="G162" s="4" t="s">
        <v>431</v>
      </c>
      <c r="I162" s="3">
        <v>1</v>
      </c>
      <c r="J162" t="str">
        <f t="shared" si="19"/>
        <v>ตรงตามเนื้อหา</v>
      </c>
      <c r="K162" t="str">
        <f t="shared" si="23"/>
        <v>Keyword ตรง</v>
      </c>
    </row>
    <row r="163" spans="1:11" ht="13.2">
      <c r="A163" s="3"/>
      <c r="B163" s="3"/>
      <c r="D163" s="5" t="s">
        <v>432</v>
      </c>
      <c r="E163" s="4" t="s">
        <v>433</v>
      </c>
      <c r="G163" s="4" t="s">
        <v>892</v>
      </c>
      <c r="I163" s="3"/>
    </row>
    <row r="164" spans="1:11" ht="13.2">
      <c r="A164" s="3"/>
      <c r="B164" s="3"/>
      <c r="D164" s="3"/>
      <c r="E164" s="3" t="s">
        <v>434</v>
      </c>
      <c r="F164" s="4" t="s">
        <v>435</v>
      </c>
      <c r="G164" s="4" t="s">
        <v>436</v>
      </c>
      <c r="I164" s="3">
        <v>1</v>
      </c>
      <c r="J164" t="str">
        <f t="shared" si="19"/>
        <v>ตรงตามเนื้อหา</v>
      </c>
      <c r="K164" t="str">
        <f t="shared" ref="K164:K168" si="24">IF(OR(I164=0,I164=1), "Keyword ตรง","Keyword คลุมเครือ")</f>
        <v>Keyword ตรง</v>
      </c>
    </row>
    <row r="165" spans="1:11" ht="13.2">
      <c r="A165" s="3"/>
      <c r="B165" s="3"/>
      <c r="D165" s="3"/>
      <c r="E165" s="3" t="s">
        <v>437</v>
      </c>
      <c r="F165" s="4" t="s">
        <v>438</v>
      </c>
      <c r="G165" s="4" t="s">
        <v>439</v>
      </c>
      <c r="I165" s="3">
        <v>1</v>
      </c>
      <c r="J165" t="str">
        <f t="shared" si="19"/>
        <v>ตรงตามเนื้อหา</v>
      </c>
      <c r="K165" t="str">
        <f t="shared" si="24"/>
        <v>Keyword ตรง</v>
      </c>
    </row>
    <row r="166" spans="1:11" ht="13.2">
      <c r="A166" s="3"/>
      <c r="B166" s="3"/>
      <c r="D166" s="3"/>
      <c r="E166" s="3" t="s">
        <v>440</v>
      </c>
      <c r="F166" s="4" t="s">
        <v>441</v>
      </c>
      <c r="G166" s="4" t="s">
        <v>442</v>
      </c>
      <c r="I166" s="3">
        <v>1</v>
      </c>
      <c r="J166" t="str">
        <f t="shared" si="19"/>
        <v>ตรงตามเนื้อหา</v>
      </c>
      <c r="K166" t="str">
        <f t="shared" si="24"/>
        <v>Keyword ตรง</v>
      </c>
    </row>
    <row r="167" spans="1:11" ht="13.2">
      <c r="A167" s="3"/>
      <c r="B167" s="3"/>
      <c r="D167" s="3"/>
      <c r="E167" s="3" t="s">
        <v>443</v>
      </c>
      <c r="F167" s="4" t="s">
        <v>444</v>
      </c>
      <c r="G167" s="4" t="s">
        <v>445</v>
      </c>
      <c r="I167" s="3">
        <v>1</v>
      </c>
      <c r="J167" t="str">
        <f t="shared" si="19"/>
        <v>ตรงตามเนื้อหา</v>
      </c>
      <c r="K167" t="str">
        <f t="shared" si="24"/>
        <v>Keyword ตรง</v>
      </c>
    </row>
    <row r="168" spans="1:11" ht="13.2">
      <c r="A168" s="3"/>
      <c r="B168" s="3"/>
      <c r="D168" s="3"/>
      <c r="E168" s="3" t="s">
        <v>446</v>
      </c>
      <c r="F168" s="4" t="s">
        <v>447</v>
      </c>
      <c r="G168" s="4" t="s">
        <v>448</v>
      </c>
      <c r="I168" s="3">
        <v>1</v>
      </c>
      <c r="J168" t="str">
        <f t="shared" si="19"/>
        <v>ตรงตามเนื้อหา</v>
      </c>
      <c r="K168" t="str">
        <f t="shared" si="24"/>
        <v>Keyword ตรง</v>
      </c>
    </row>
    <row r="169" spans="1:11" ht="13.2">
      <c r="A169" s="3"/>
      <c r="B169" s="3">
        <v>2.5</v>
      </c>
      <c r="C169" s="4" t="s">
        <v>449</v>
      </c>
      <c r="I169" s="3"/>
    </row>
    <row r="170" spans="1:11" ht="13.2">
      <c r="A170" s="3"/>
      <c r="B170" s="3"/>
      <c r="C170" s="3" t="s">
        <v>450</v>
      </c>
      <c r="D170" s="4" t="s">
        <v>451</v>
      </c>
      <c r="I170" s="3"/>
    </row>
    <row r="171" spans="1:11" ht="13.2">
      <c r="A171" s="3"/>
      <c r="B171" s="3"/>
      <c r="D171" s="3" t="s">
        <v>452</v>
      </c>
      <c r="E171" s="5" t="s">
        <v>453</v>
      </c>
      <c r="G171" s="4" t="s">
        <v>454</v>
      </c>
      <c r="I171" s="3">
        <v>1</v>
      </c>
      <c r="J171" t="str">
        <f t="shared" si="19"/>
        <v>ตรงตามเนื้อหา</v>
      </c>
      <c r="K171" t="str">
        <f t="shared" ref="K171" si="25">IF(OR(I171=0,I171=1), "Keyword ตรง","Keyword คลุมเครือ")</f>
        <v>Keyword ตรง</v>
      </c>
    </row>
    <row r="172" spans="1:11" ht="13.2">
      <c r="A172" s="3"/>
      <c r="B172" s="3"/>
      <c r="C172" s="3" t="s">
        <v>455</v>
      </c>
      <c r="D172" s="5" t="s">
        <v>456</v>
      </c>
      <c r="I172" s="3"/>
    </row>
    <row r="173" spans="1:11" ht="13.2">
      <c r="A173" s="3"/>
      <c r="B173" s="3"/>
      <c r="D173" s="3" t="s">
        <v>457</v>
      </c>
      <c r="E173" s="5" t="s">
        <v>458</v>
      </c>
      <c r="G173" s="4" t="s">
        <v>459</v>
      </c>
      <c r="I173" s="3">
        <v>1</v>
      </c>
      <c r="J173" t="str">
        <f t="shared" si="19"/>
        <v>ตรงตามเนื้อหา</v>
      </c>
      <c r="K173" t="str">
        <f t="shared" ref="K173" si="26">IF(OR(I173=0,I173=1), "Keyword ตรง","Keyword คลุมเครือ")</f>
        <v>Keyword ตรง</v>
      </c>
    </row>
    <row r="174" spans="1:11" ht="13.2">
      <c r="A174" s="3"/>
      <c r="B174" s="3"/>
      <c r="C174" s="3" t="s">
        <v>460</v>
      </c>
      <c r="D174" s="5" t="s">
        <v>461</v>
      </c>
      <c r="I174" s="3"/>
    </row>
    <row r="175" spans="1:11" ht="13.2">
      <c r="A175" s="3"/>
      <c r="B175" s="3"/>
      <c r="D175" s="3" t="s">
        <v>462</v>
      </c>
      <c r="E175" s="4" t="s">
        <v>463</v>
      </c>
      <c r="G175" s="4" t="s">
        <v>464</v>
      </c>
      <c r="I175" s="3">
        <v>1</v>
      </c>
      <c r="J175" t="str">
        <f t="shared" si="19"/>
        <v>ตรงตามเนื้อหา</v>
      </c>
      <c r="K175" t="str">
        <f t="shared" ref="K175" si="27">IF(OR(I175=0,I175=1), "Keyword ตรง","Keyword คลุมเครือ")</f>
        <v>Keyword ตรง</v>
      </c>
    </row>
    <row r="176" spans="1:11" ht="13.2">
      <c r="A176" s="3"/>
      <c r="B176" s="3">
        <v>2.6</v>
      </c>
      <c r="C176" s="4" t="s">
        <v>465</v>
      </c>
      <c r="D176" s="3"/>
      <c r="I176" s="3"/>
    </row>
    <row r="177" spans="1:11" ht="13.2">
      <c r="A177" s="3"/>
      <c r="B177" s="3"/>
      <c r="C177" s="3" t="s">
        <v>466</v>
      </c>
      <c r="D177" s="4" t="s">
        <v>467</v>
      </c>
      <c r="G177" s="4" t="s">
        <v>468</v>
      </c>
      <c r="I177" s="3">
        <v>1</v>
      </c>
      <c r="J177" t="str">
        <f t="shared" si="19"/>
        <v>ตรงตามเนื้อหา</v>
      </c>
      <c r="K177" t="str">
        <f t="shared" ref="K177" si="28">IF(OR(I177=0,I177=1), "Keyword ตรง","Keyword คลุมเครือ")</f>
        <v>Keyword ตรง</v>
      </c>
    </row>
    <row r="178" spans="1:11" ht="13.2">
      <c r="A178" s="3"/>
      <c r="B178" s="3">
        <v>2.7</v>
      </c>
      <c r="C178" s="4" t="s">
        <v>469</v>
      </c>
      <c r="D178" s="3"/>
      <c r="I178" s="3"/>
    </row>
    <row r="179" spans="1:11" ht="13.2">
      <c r="A179" s="3"/>
      <c r="B179" s="3"/>
      <c r="C179" s="4" t="s">
        <v>470</v>
      </c>
      <c r="D179" s="5" t="s">
        <v>471</v>
      </c>
      <c r="G179" s="4" t="s">
        <v>472</v>
      </c>
      <c r="I179" s="3">
        <v>1</v>
      </c>
      <c r="J179" t="str">
        <f t="shared" si="19"/>
        <v>ตรงตามเนื้อหา</v>
      </c>
      <c r="K179" t="str">
        <f t="shared" ref="K179:K195" si="29">IF(OR(I179=0,I179=1), "Keyword ตรง","Keyword คลุมเครือ")</f>
        <v>Keyword ตรง</v>
      </c>
    </row>
    <row r="180" spans="1:11" ht="13.2">
      <c r="A180" s="3"/>
      <c r="B180" s="3"/>
      <c r="D180" s="3" t="s">
        <v>473</v>
      </c>
      <c r="E180" s="4" t="s">
        <v>474</v>
      </c>
      <c r="G180" s="4" t="s">
        <v>475</v>
      </c>
      <c r="I180" s="3">
        <v>1</v>
      </c>
      <c r="J180" t="str">
        <f t="shared" si="19"/>
        <v>ตรงตามเนื้อหา</v>
      </c>
      <c r="K180" t="str">
        <f t="shared" si="29"/>
        <v>Keyword ตรง</v>
      </c>
    </row>
    <row r="181" spans="1:11" ht="13.2">
      <c r="A181" s="3"/>
      <c r="B181" s="3"/>
      <c r="C181" s="4" t="s">
        <v>476</v>
      </c>
      <c r="D181" s="5" t="s">
        <v>477</v>
      </c>
      <c r="G181" s="4" t="s">
        <v>478</v>
      </c>
      <c r="I181" s="3">
        <v>1</v>
      </c>
      <c r="J181" t="str">
        <f t="shared" si="19"/>
        <v>ตรงตามเนื้อหา</v>
      </c>
      <c r="K181" t="str">
        <f t="shared" si="29"/>
        <v>Keyword ตรง</v>
      </c>
    </row>
    <row r="182" spans="1:11" ht="13.2">
      <c r="A182" s="3"/>
      <c r="B182" s="3"/>
      <c r="D182" s="3" t="s">
        <v>479</v>
      </c>
      <c r="E182" s="4" t="s">
        <v>480</v>
      </c>
      <c r="G182" s="4" t="s">
        <v>481</v>
      </c>
      <c r="I182" s="3">
        <v>1</v>
      </c>
      <c r="J182" t="str">
        <f t="shared" si="19"/>
        <v>ตรงตามเนื้อหา</v>
      </c>
      <c r="K182" t="str">
        <f t="shared" si="29"/>
        <v>Keyword ตรง</v>
      </c>
    </row>
    <row r="183" spans="1:11" ht="13.2">
      <c r="A183" s="3"/>
      <c r="B183" s="3"/>
      <c r="C183" s="4" t="s">
        <v>482</v>
      </c>
      <c r="D183" s="5" t="s">
        <v>483</v>
      </c>
      <c r="G183" s="4" t="s">
        <v>484</v>
      </c>
      <c r="I183" s="3">
        <v>1</v>
      </c>
      <c r="J183" t="str">
        <f t="shared" si="19"/>
        <v>ตรงตามเนื้อหา</v>
      </c>
      <c r="K183" t="str">
        <f t="shared" si="29"/>
        <v>Keyword ตรง</v>
      </c>
    </row>
    <row r="184" spans="1:11" ht="13.2">
      <c r="A184" s="3"/>
      <c r="B184" s="3"/>
      <c r="D184" s="4" t="s">
        <v>485</v>
      </c>
      <c r="E184" s="4" t="s">
        <v>486</v>
      </c>
      <c r="G184" s="4" t="s">
        <v>487</v>
      </c>
      <c r="I184" s="3">
        <v>1</v>
      </c>
      <c r="J184" t="str">
        <f t="shared" si="19"/>
        <v>ตรงตามเนื้อหา</v>
      </c>
      <c r="K184" t="str">
        <f t="shared" si="29"/>
        <v>Keyword ตรง</v>
      </c>
    </row>
    <row r="185" spans="1:11" ht="13.2">
      <c r="A185" s="3"/>
      <c r="B185" s="3"/>
      <c r="C185" s="4" t="s">
        <v>488</v>
      </c>
      <c r="D185" s="5" t="s">
        <v>489</v>
      </c>
      <c r="G185" s="4" t="s">
        <v>490</v>
      </c>
      <c r="I185" s="3">
        <v>1</v>
      </c>
      <c r="J185" t="str">
        <f t="shared" si="19"/>
        <v>ตรงตามเนื้อหา</v>
      </c>
      <c r="K185" t="str">
        <f t="shared" si="29"/>
        <v>Keyword ตรง</v>
      </c>
    </row>
    <row r="186" spans="1:11" ht="13.2">
      <c r="A186" s="3"/>
      <c r="B186" s="3"/>
      <c r="D186" s="3" t="s">
        <v>491</v>
      </c>
      <c r="E186" s="4" t="s">
        <v>492</v>
      </c>
      <c r="G186" s="4" t="s">
        <v>493</v>
      </c>
      <c r="I186" s="3">
        <v>1</v>
      </c>
      <c r="J186" t="str">
        <f t="shared" si="19"/>
        <v>ตรงตามเนื้อหา</v>
      </c>
      <c r="K186" t="str">
        <f t="shared" si="29"/>
        <v>Keyword ตรง</v>
      </c>
    </row>
    <row r="187" spans="1:11" ht="13.2">
      <c r="A187" s="3"/>
      <c r="B187" s="3"/>
      <c r="D187" s="3" t="s">
        <v>494</v>
      </c>
      <c r="E187" s="4" t="s">
        <v>495</v>
      </c>
      <c r="G187" s="4" t="s">
        <v>496</v>
      </c>
      <c r="I187" s="3">
        <v>1</v>
      </c>
      <c r="J187" t="str">
        <f t="shared" si="19"/>
        <v>ตรงตามเนื้อหา</v>
      </c>
      <c r="K187" t="str">
        <f t="shared" si="29"/>
        <v>Keyword ตรง</v>
      </c>
    </row>
    <row r="188" spans="1:11" ht="13.2">
      <c r="A188" s="3"/>
      <c r="B188" s="3"/>
      <c r="D188" s="3" t="s">
        <v>497</v>
      </c>
      <c r="E188" s="5" t="s">
        <v>498</v>
      </c>
      <c r="G188" s="4" t="s">
        <v>499</v>
      </c>
      <c r="I188" s="3">
        <v>1</v>
      </c>
      <c r="J188" t="str">
        <f t="shared" si="19"/>
        <v>ตรงตามเนื้อหา</v>
      </c>
      <c r="K188" t="str">
        <f t="shared" si="29"/>
        <v>Keyword ตรง</v>
      </c>
    </row>
    <row r="189" spans="1:11" ht="13.2">
      <c r="A189" s="3"/>
      <c r="B189" s="3"/>
      <c r="D189" s="3" t="s">
        <v>500</v>
      </c>
      <c r="E189" s="5" t="s">
        <v>501</v>
      </c>
      <c r="G189" s="4" t="s">
        <v>502</v>
      </c>
      <c r="I189" s="3">
        <v>1</v>
      </c>
      <c r="J189" t="str">
        <f t="shared" si="19"/>
        <v>ตรงตามเนื้อหา</v>
      </c>
      <c r="K189" t="str">
        <f t="shared" si="29"/>
        <v>Keyword ตรง</v>
      </c>
    </row>
    <row r="190" spans="1:11" ht="13.2">
      <c r="A190" s="3"/>
      <c r="B190" s="3"/>
      <c r="D190" s="9" t="s">
        <v>503</v>
      </c>
      <c r="E190" s="7" t="s">
        <v>504</v>
      </c>
      <c r="F190" s="6"/>
      <c r="G190" s="4" t="s">
        <v>505</v>
      </c>
      <c r="I190" s="3">
        <v>1</v>
      </c>
      <c r="J190" t="str">
        <f t="shared" si="19"/>
        <v>ตรงตามเนื้อหา</v>
      </c>
      <c r="K190" t="str">
        <f t="shared" si="29"/>
        <v>Keyword ตรง</v>
      </c>
    </row>
    <row r="191" spans="1:11" ht="13.2">
      <c r="A191" s="3"/>
      <c r="B191" s="3"/>
      <c r="D191" s="3" t="s">
        <v>506</v>
      </c>
      <c r="E191" s="5" t="s">
        <v>507</v>
      </c>
      <c r="G191" s="4" t="s">
        <v>508</v>
      </c>
      <c r="I191" s="3">
        <v>1</v>
      </c>
      <c r="J191" t="str">
        <f t="shared" si="19"/>
        <v>ตรงตามเนื้อหา</v>
      </c>
      <c r="K191" t="str">
        <f t="shared" si="29"/>
        <v>Keyword ตรง</v>
      </c>
    </row>
    <row r="192" spans="1:11" ht="13.2">
      <c r="A192" s="3"/>
      <c r="B192" s="3"/>
      <c r="D192" s="3"/>
      <c r="E192" s="3" t="s">
        <v>509</v>
      </c>
      <c r="F192" s="4" t="s">
        <v>510</v>
      </c>
      <c r="G192" s="4" t="s">
        <v>511</v>
      </c>
      <c r="I192" s="3">
        <v>1</v>
      </c>
      <c r="J192" t="str">
        <f t="shared" si="19"/>
        <v>ตรงตามเนื้อหา</v>
      </c>
      <c r="K192" t="str">
        <f t="shared" si="29"/>
        <v>Keyword ตรง</v>
      </c>
    </row>
    <row r="193" spans="1:11" ht="13.2">
      <c r="A193" s="3"/>
      <c r="B193" s="3"/>
      <c r="D193" s="3" t="s">
        <v>512</v>
      </c>
      <c r="E193" s="5" t="s">
        <v>513</v>
      </c>
      <c r="G193" s="30" t="s">
        <v>514</v>
      </c>
      <c r="I193" s="3">
        <v>1</v>
      </c>
      <c r="J193" t="str">
        <f t="shared" si="19"/>
        <v>ตรงตามเนื้อหา</v>
      </c>
      <c r="K193" t="str">
        <f t="shared" si="29"/>
        <v>Keyword ตรง</v>
      </c>
    </row>
    <row r="194" spans="1:11" ht="13.2">
      <c r="A194" s="3"/>
      <c r="B194" s="3"/>
      <c r="D194" s="3" t="s">
        <v>515</v>
      </c>
      <c r="E194" s="5" t="s">
        <v>516</v>
      </c>
      <c r="G194" s="4" t="s">
        <v>517</v>
      </c>
      <c r="I194" s="3">
        <v>1</v>
      </c>
      <c r="J194" t="str">
        <f t="shared" si="19"/>
        <v>ตรงตามเนื้อหา</v>
      </c>
      <c r="K194" t="str">
        <f t="shared" si="29"/>
        <v>Keyword ตรง</v>
      </c>
    </row>
    <row r="195" spans="1:11" ht="13.2">
      <c r="A195" s="3"/>
      <c r="B195" s="3"/>
      <c r="D195" s="3" t="s">
        <v>519</v>
      </c>
      <c r="E195" s="5" t="s">
        <v>520</v>
      </c>
      <c r="G195" s="4" t="s">
        <v>518</v>
      </c>
      <c r="I195" s="3">
        <v>1</v>
      </c>
      <c r="J195" t="str">
        <f t="shared" si="19"/>
        <v>ตรงตามเนื้อหา</v>
      </c>
      <c r="K195" t="str">
        <f t="shared" si="29"/>
        <v>Keyword ตรง</v>
      </c>
    </row>
    <row r="196" spans="1:11" ht="13.2">
      <c r="A196" s="3"/>
      <c r="B196" s="3"/>
      <c r="D196" s="3"/>
      <c r="E196" s="5"/>
      <c r="G196" s="4"/>
      <c r="I196" s="3"/>
    </row>
    <row r="197" spans="1:11" ht="13.2">
      <c r="A197" s="3">
        <v>3</v>
      </c>
      <c r="B197" s="5" t="s">
        <v>521</v>
      </c>
      <c r="D197" s="3"/>
      <c r="I197" s="3"/>
    </row>
    <row r="198" spans="1:11" ht="13.2">
      <c r="A198" s="3"/>
      <c r="B198" s="3">
        <v>3.1</v>
      </c>
      <c r="C198" s="4" t="s">
        <v>522</v>
      </c>
      <c r="D198" s="3"/>
      <c r="G198" s="4" t="s">
        <v>885</v>
      </c>
      <c r="I198" s="3">
        <v>1</v>
      </c>
      <c r="J198" t="str">
        <f t="shared" si="19"/>
        <v>ตรงตามเนื้อหา</v>
      </c>
      <c r="K198" t="str">
        <f t="shared" ref="K198:K261" si="30">IF(OR(I198=0,I198=1), "Keyword ตรง","Keyword คลุมเครือ")</f>
        <v>Keyword ตรง</v>
      </c>
    </row>
    <row r="199" spans="1:11" ht="13.2">
      <c r="A199" s="3"/>
      <c r="B199" s="3"/>
      <c r="C199" s="4" t="s">
        <v>524</v>
      </c>
      <c r="D199" s="5" t="s">
        <v>525</v>
      </c>
      <c r="G199" s="4" t="s">
        <v>526</v>
      </c>
      <c r="I199" s="3">
        <v>1</v>
      </c>
      <c r="J199" t="str">
        <f t="shared" si="19"/>
        <v>ตรงตามเนื้อหา</v>
      </c>
      <c r="K199" t="str">
        <f t="shared" si="30"/>
        <v>Keyword ตรง</v>
      </c>
    </row>
    <row r="200" spans="1:11" ht="13.2">
      <c r="A200" s="3"/>
      <c r="B200" s="3"/>
      <c r="C200" s="4" t="s">
        <v>527</v>
      </c>
      <c r="D200" s="5" t="s">
        <v>528</v>
      </c>
      <c r="G200" s="4" t="s">
        <v>529</v>
      </c>
      <c r="I200" s="3">
        <v>1</v>
      </c>
      <c r="J200" t="str">
        <f t="shared" ref="J200:J261" si="31">IF(OR(I200=1,I200=2), "ตรงตามเนื้อหา","ไม่ตรงตามเนื้อหา")</f>
        <v>ตรงตามเนื้อหา</v>
      </c>
      <c r="K200" t="str">
        <f t="shared" si="30"/>
        <v>Keyword ตรง</v>
      </c>
    </row>
    <row r="201" spans="1:11" ht="13.2">
      <c r="A201" s="3"/>
      <c r="B201" s="3"/>
      <c r="C201" s="4" t="s">
        <v>530</v>
      </c>
      <c r="D201" s="5" t="s">
        <v>531</v>
      </c>
      <c r="G201" s="4" t="s">
        <v>532</v>
      </c>
      <c r="I201" s="3">
        <v>1</v>
      </c>
      <c r="J201" t="str">
        <f t="shared" si="31"/>
        <v>ตรงตามเนื้อหา</v>
      </c>
      <c r="K201" t="str">
        <f t="shared" si="30"/>
        <v>Keyword ตรง</v>
      </c>
    </row>
    <row r="202" spans="1:11" ht="13.2">
      <c r="A202" s="3"/>
      <c r="B202" s="3"/>
      <c r="C202" s="4" t="s">
        <v>533</v>
      </c>
      <c r="D202" s="5" t="s">
        <v>534</v>
      </c>
      <c r="G202" s="4" t="s">
        <v>535</v>
      </c>
      <c r="I202" s="3">
        <v>1</v>
      </c>
      <c r="J202" t="str">
        <f t="shared" si="31"/>
        <v>ตรงตามเนื้อหา</v>
      </c>
      <c r="K202" t="str">
        <f t="shared" si="30"/>
        <v>Keyword ตรง</v>
      </c>
    </row>
    <row r="203" spans="1:11" ht="13.2">
      <c r="A203" s="3"/>
      <c r="B203" s="3"/>
      <c r="D203" s="4" t="s">
        <v>536</v>
      </c>
      <c r="E203" s="4" t="s">
        <v>537</v>
      </c>
      <c r="G203" s="4" t="s">
        <v>538</v>
      </c>
      <c r="I203" s="3">
        <v>1</v>
      </c>
      <c r="J203" t="str">
        <f t="shared" si="31"/>
        <v>ตรงตามเนื้อหา</v>
      </c>
      <c r="K203" t="str">
        <f t="shared" si="30"/>
        <v>Keyword ตรง</v>
      </c>
    </row>
    <row r="204" spans="1:11" ht="13.2">
      <c r="A204" s="3"/>
      <c r="B204" s="3"/>
      <c r="D204" s="4" t="s">
        <v>539</v>
      </c>
      <c r="E204" s="4" t="s">
        <v>540</v>
      </c>
      <c r="G204" s="4" t="s">
        <v>541</v>
      </c>
      <c r="I204" s="3">
        <v>1</v>
      </c>
      <c r="J204" t="str">
        <f t="shared" si="31"/>
        <v>ตรงตามเนื้อหา</v>
      </c>
      <c r="K204" t="str">
        <f t="shared" si="30"/>
        <v>Keyword ตรง</v>
      </c>
    </row>
    <row r="205" spans="1:11" ht="13.2">
      <c r="A205" s="3"/>
      <c r="B205" s="3"/>
      <c r="D205" s="4" t="s">
        <v>542</v>
      </c>
      <c r="E205" s="4" t="s">
        <v>543</v>
      </c>
      <c r="G205" s="4" t="s">
        <v>544</v>
      </c>
      <c r="I205" s="3">
        <v>1</v>
      </c>
      <c r="J205" t="str">
        <f t="shared" si="31"/>
        <v>ตรงตามเนื้อหา</v>
      </c>
      <c r="K205" t="str">
        <f t="shared" si="30"/>
        <v>Keyword ตรง</v>
      </c>
    </row>
    <row r="206" spans="1:11" ht="13.2">
      <c r="A206" s="3"/>
      <c r="B206" s="3"/>
      <c r="D206" s="4" t="s">
        <v>545</v>
      </c>
      <c r="E206" s="4" t="s">
        <v>546</v>
      </c>
      <c r="G206" s="4" t="s">
        <v>547</v>
      </c>
      <c r="I206" s="3">
        <v>1</v>
      </c>
      <c r="J206" t="str">
        <f t="shared" si="31"/>
        <v>ตรงตามเนื้อหา</v>
      </c>
      <c r="K206" t="str">
        <f t="shared" si="30"/>
        <v>Keyword ตรง</v>
      </c>
    </row>
    <row r="207" spans="1:11" ht="13.2">
      <c r="A207" s="3"/>
      <c r="B207" s="3"/>
      <c r="D207" s="4" t="s">
        <v>548</v>
      </c>
      <c r="E207" s="4" t="s">
        <v>549</v>
      </c>
      <c r="G207" s="4" t="s">
        <v>550</v>
      </c>
      <c r="I207" s="3">
        <v>1</v>
      </c>
      <c r="J207" t="str">
        <f t="shared" si="31"/>
        <v>ตรงตามเนื้อหา</v>
      </c>
      <c r="K207" t="str">
        <f t="shared" si="30"/>
        <v>Keyword ตรง</v>
      </c>
    </row>
    <row r="208" spans="1:11" ht="13.2">
      <c r="A208" s="3"/>
      <c r="B208" s="3"/>
      <c r="C208" s="4" t="s">
        <v>551</v>
      </c>
      <c r="D208" s="5" t="s">
        <v>552</v>
      </c>
      <c r="G208" s="4" t="s">
        <v>553</v>
      </c>
      <c r="I208" s="3">
        <v>1</v>
      </c>
      <c r="J208" t="str">
        <f t="shared" si="31"/>
        <v>ตรงตามเนื้อหา</v>
      </c>
      <c r="K208" t="str">
        <f t="shared" si="30"/>
        <v>Keyword ตรง</v>
      </c>
    </row>
    <row r="209" spans="1:11" ht="13.2">
      <c r="A209" s="3"/>
      <c r="B209" s="3"/>
      <c r="D209" s="4" t="s">
        <v>554</v>
      </c>
      <c r="E209" s="4" t="s">
        <v>555</v>
      </c>
      <c r="G209" s="4" t="s">
        <v>556</v>
      </c>
      <c r="I209" s="3">
        <v>1</v>
      </c>
      <c r="J209" t="str">
        <f t="shared" si="31"/>
        <v>ตรงตามเนื้อหา</v>
      </c>
      <c r="K209" t="str">
        <f t="shared" si="30"/>
        <v>Keyword ตรง</v>
      </c>
    </row>
    <row r="210" spans="1:11" ht="13.2">
      <c r="A210" s="3"/>
      <c r="B210" s="3"/>
      <c r="D210" s="4" t="s">
        <v>557</v>
      </c>
      <c r="E210" s="4" t="s">
        <v>558</v>
      </c>
      <c r="G210" s="4" t="s">
        <v>559</v>
      </c>
      <c r="I210" s="3">
        <v>1</v>
      </c>
      <c r="J210" t="str">
        <f t="shared" si="31"/>
        <v>ตรงตามเนื้อหา</v>
      </c>
      <c r="K210" t="str">
        <f t="shared" si="30"/>
        <v>Keyword ตรง</v>
      </c>
    </row>
    <row r="211" spans="1:11" ht="13.2">
      <c r="A211" s="3"/>
      <c r="B211" s="3"/>
      <c r="C211" s="4" t="s">
        <v>560</v>
      </c>
      <c r="D211" s="5" t="s">
        <v>561</v>
      </c>
      <c r="G211" s="4" t="s">
        <v>562</v>
      </c>
      <c r="I211" s="3">
        <v>1</v>
      </c>
      <c r="J211" t="str">
        <f t="shared" si="31"/>
        <v>ตรงตามเนื้อหา</v>
      </c>
      <c r="K211" t="str">
        <f t="shared" si="30"/>
        <v>Keyword ตรง</v>
      </c>
    </row>
    <row r="212" spans="1:11" ht="13.2">
      <c r="A212" s="3"/>
      <c r="B212" s="3"/>
      <c r="D212" s="4" t="s">
        <v>563</v>
      </c>
      <c r="E212" s="4" t="s">
        <v>564</v>
      </c>
      <c r="G212" s="4" t="s">
        <v>565</v>
      </c>
      <c r="I212" s="3">
        <v>1</v>
      </c>
      <c r="J212" t="str">
        <f t="shared" si="31"/>
        <v>ตรงตามเนื้อหา</v>
      </c>
      <c r="K212" t="str">
        <f t="shared" si="30"/>
        <v>Keyword ตรง</v>
      </c>
    </row>
    <row r="213" spans="1:11" ht="13.2">
      <c r="A213" s="3"/>
      <c r="B213" s="3"/>
      <c r="D213" s="4" t="s">
        <v>566</v>
      </c>
      <c r="E213" s="4" t="s">
        <v>567</v>
      </c>
      <c r="G213" s="4" t="s">
        <v>568</v>
      </c>
      <c r="I213" s="3">
        <v>1</v>
      </c>
      <c r="J213" t="str">
        <f t="shared" si="31"/>
        <v>ตรงตามเนื้อหา</v>
      </c>
      <c r="K213" t="str">
        <f t="shared" si="30"/>
        <v>Keyword ตรง</v>
      </c>
    </row>
    <row r="214" spans="1:11" ht="13.2">
      <c r="A214" s="3"/>
      <c r="B214" s="3"/>
      <c r="D214" s="4" t="s">
        <v>569</v>
      </c>
      <c r="E214" s="4" t="s">
        <v>570</v>
      </c>
      <c r="G214" s="4" t="s">
        <v>571</v>
      </c>
      <c r="I214" s="3">
        <v>1</v>
      </c>
      <c r="J214" t="str">
        <f t="shared" si="31"/>
        <v>ตรงตามเนื้อหา</v>
      </c>
      <c r="K214" t="str">
        <f t="shared" si="30"/>
        <v>Keyword ตรง</v>
      </c>
    </row>
    <row r="215" spans="1:11" ht="13.2">
      <c r="A215" s="3"/>
      <c r="B215" s="3"/>
      <c r="D215" s="4" t="s">
        <v>572</v>
      </c>
      <c r="E215" s="4" t="s">
        <v>573</v>
      </c>
      <c r="G215" s="4" t="s">
        <v>574</v>
      </c>
      <c r="I215" s="3">
        <v>1</v>
      </c>
      <c r="J215" t="str">
        <f t="shared" si="31"/>
        <v>ตรงตามเนื้อหา</v>
      </c>
      <c r="K215" t="str">
        <f t="shared" si="30"/>
        <v>Keyword ตรง</v>
      </c>
    </row>
    <row r="216" spans="1:11" ht="13.2">
      <c r="A216" s="3"/>
      <c r="B216" s="3"/>
      <c r="D216" s="4" t="s">
        <v>575</v>
      </c>
      <c r="E216" s="4" t="s">
        <v>576</v>
      </c>
      <c r="G216" s="4" t="s">
        <v>577</v>
      </c>
      <c r="I216" s="3">
        <v>1</v>
      </c>
      <c r="J216" t="str">
        <f t="shared" si="31"/>
        <v>ตรงตามเนื้อหา</v>
      </c>
      <c r="K216" t="str">
        <f t="shared" si="30"/>
        <v>Keyword ตรง</v>
      </c>
    </row>
    <row r="217" spans="1:11" ht="13.2">
      <c r="A217" s="3"/>
      <c r="B217" s="3">
        <v>3.2</v>
      </c>
      <c r="C217" s="4" t="s">
        <v>578</v>
      </c>
      <c r="D217" s="3"/>
      <c r="G217" s="4" t="s">
        <v>579</v>
      </c>
      <c r="I217" s="3">
        <v>1</v>
      </c>
      <c r="J217" t="str">
        <f t="shared" si="31"/>
        <v>ตรงตามเนื้อหา</v>
      </c>
      <c r="K217" t="str">
        <f t="shared" si="30"/>
        <v>Keyword ตรง</v>
      </c>
    </row>
    <row r="218" spans="1:11" ht="13.2">
      <c r="A218" s="3"/>
      <c r="B218" s="3"/>
      <c r="C218" s="3" t="s">
        <v>580</v>
      </c>
      <c r="D218" s="5" t="s">
        <v>581</v>
      </c>
      <c r="G218" s="4" t="s">
        <v>582</v>
      </c>
      <c r="I218" s="3">
        <v>1</v>
      </c>
      <c r="J218" t="str">
        <f t="shared" si="31"/>
        <v>ตรงตามเนื้อหา</v>
      </c>
      <c r="K218" t="str">
        <f t="shared" si="30"/>
        <v>Keyword ตรง</v>
      </c>
    </row>
    <row r="219" spans="1:11" ht="13.2">
      <c r="A219" s="3"/>
      <c r="B219" s="3"/>
      <c r="C219" s="3" t="s">
        <v>583</v>
      </c>
      <c r="D219" s="5" t="s">
        <v>584</v>
      </c>
      <c r="G219" s="4" t="s">
        <v>585</v>
      </c>
      <c r="I219" s="3">
        <v>1</v>
      </c>
      <c r="J219" t="str">
        <f t="shared" si="31"/>
        <v>ตรงตามเนื้อหา</v>
      </c>
      <c r="K219" t="str">
        <f t="shared" si="30"/>
        <v>Keyword ตรง</v>
      </c>
    </row>
    <row r="220" spans="1:11" ht="13.2">
      <c r="A220" s="3"/>
      <c r="B220" s="3"/>
      <c r="C220" s="3" t="s">
        <v>586</v>
      </c>
      <c r="D220" s="5" t="s">
        <v>587</v>
      </c>
      <c r="G220" s="4" t="s">
        <v>588</v>
      </c>
      <c r="I220" s="3">
        <v>1</v>
      </c>
      <c r="J220" t="str">
        <f t="shared" si="31"/>
        <v>ตรงตามเนื้อหา</v>
      </c>
      <c r="K220" t="str">
        <f t="shared" si="30"/>
        <v>Keyword ตรง</v>
      </c>
    </row>
    <row r="221" spans="1:11" ht="13.2">
      <c r="A221" s="3"/>
      <c r="B221" s="3"/>
      <c r="C221" s="3" t="s">
        <v>589</v>
      </c>
      <c r="D221" s="4" t="s">
        <v>590</v>
      </c>
      <c r="G221" s="4" t="s">
        <v>591</v>
      </c>
      <c r="I221" s="3">
        <v>1</v>
      </c>
      <c r="J221" t="str">
        <f t="shared" si="31"/>
        <v>ตรงตามเนื้อหา</v>
      </c>
      <c r="K221" t="str">
        <f t="shared" si="30"/>
        <v>Keyword ตรง</v>
      </c>
    </row>
    <row r="222" spans="1:11" ht="13.2">
      <c r="A222" s="3"/>
      <c r="B222" s="3"/>
      <c r="C222" s="3" t="s">
        <v>592</v>
      </c>
      <c r="D222" s="5" t="s">
        <v>593</v>
      </c>
      <c r="G222" s="4" t="s">
        <v>594</v>
      </c>
      <c r="I222" s="3">
        <v>1</v>
      </c>
      <c r="J222" t="str">
        <f t="shared" si="31"/>
        <v>ตรงตามเนื้อหา</v>
      </c>
      <c r="K222" t="str">
        <f t="shared" si="30"/>
        <v>Keyword ตรง</v>
      </c>
    </row>
    <row r="223" spans="1:11" ht="13.2">
      <c r="A223" s="3"/>
      <c r="B223" s="3"/>
      <c r="C223" s="3" t="s">
        <v>595</v>
      </c>
      <c r="D223" s="5" t="s">
        <v>596</v>
      </c>
      <c r="G223" s="4" t="s">
        <v>597</v>
      </c>
      <c r="I223" s="3">
        <v>1</v>
      </c>
      <c r="J223" t="str">
        <f t="shared" si="31"/>
        <v>ตรงตามเนื้อหา</v>
      </c>
      <c r="K223" t="str">
        <f t="shared" si="30"/>
        <v>Keyword ตรง</v>
      </c>
    </row>
    <row r="224" spans="1:11" ht="13.2">
      <c r="A224" s="3"/>
      <c r="B224" s="3"/>
      <c r="C224" s="3" t="s">
        <v>598</v>
      </c>
      <c r="D224" s="5" t="s">
        <v>599</v>
      </c>
      <c r="G224" s="4" t="s">
        <v>600</v>
      </c>
      <c r="I224" s="3">
        <v>1</v>
      </c>
      <c r="J224" t="str">
        <f t="shared" si="31"/>
        <v>ตรงตามเนื้อหา</v>
      </c>
      <c r="K224" t="str">
        <f t="shared" si="30"/>
        <v>Keyword ตรง</v>
      </c>
    </row>
    <row r="225" spans="1:11" ht="13.2">
      <c r="A225" s="3"/>
      <c r="B225" s="3"/>
      <c r="D225" s="3" t="s">
        <v>601</v>
      </c>
      <c r="E225" s="4" t="s">
        <v>602</v>
      </c>
      <c r="G225" s="4" t="s">
        <v>603</v>
      </c>
      <c r="I225" s="3">
        <v>1</v>
      </c>
      <c r="J225" t="str">
        <f t="shared" si="31"/>
        <v>ตรงตามเนื้อหา</v>
      </c>
      <c r="K225" t="str">
        <f t="shared" si="30"/>
        <v>Keyword ตรง</v>
      </c>
    </row>
    <row r="226" spans="1:11" ht="13.2">
      <c r="A226" s="3"/>
      <c r="B226" s="3"/>
      <c r="D226" s="3" t="s">
        <v>604</v>
      </c>
      <c r="E226" s="4" t="s">
        <v>605</v>
      </c>
      <c r="G226" s="4" t="s">
        <v>606</v>
      </c>
      <c r="I226" s="3">
        <v>1</v>
      </c>
      <c r="J226" t="str">
        <f t="shared" si="31"/>
        <v>ตรงตามเนื้อหา</v>
      </c>
      <c r="K226" t="str">
        <f t="shared" si="30"/>
        <v>Keyword ตรง</v>
      </c>
    </row>
    <row r="227" spans="1:11" ht="13.2">
      <c r="A227" s="3"/>
      <c r="B227" s="3"/>
      <c r="D227" s="3" t="s">
        <v>607</v>
      </c>
      <c r="E227" s="4" t="s">
        <v>608</v>
      </c>
      <c r="G227" s="4" t="s">
        <v>609</v>
      </c>
      <c r="I227" s="3">
        <v>1</v>
      </c>
      <c r="J227" t="str">
        <f t="shared" si="31"/>
        <v>ตรงตามเนื้อหา</v>
      </c>
      <c r="K227" t="str">
        <f t="shared" si="30"/>
        <v>Keyword ตรง</v>
      </c>
    </row>
    <row r="228" spans="1:11" ht="13.2">
      <c r="A228" s="3"/>
      <c r="B228" s="3">
        <v>3.3</v>
      </c>
      <c r="C228" s="4" t="s">
        <v>610</v>
      </c>
      <c r="G228" s="4" t="s">
        <v>611</v>
      </c>
      <c r="I228" s="3">
        <v>1</v>
      </c>
      <c r="J228" t="str">
        <f t="shared" si="31"/>
        <v>ตรงตามเนื้อหา</v>
      </c>
      <c r="K228" t="str">
        <f t="shared" si="30"/>
        <v>Keyword ตรง</v>
      </c>
    </row>
    <row r="229" spans="1:11" ht="13.2">
      <c r="A229" s="3"/>
      <c r="B229" s="3"/>
      <c r="C229" s="4" t="s">
        <v>612</v>
      </c>
      <c r="D229" s="4" t="s">
        <v>613</v>
      </c>
      <c r="G229" s="4" t="s">
        <v>614</v>
      </c>
      <c r="I229" s="3">
        <v>1</v>
      </c>
      <c r="J229" t="str">
        <f t="shared" si="31"/>
        <v>ตรงตามเนื้อหา</v>
      </c>
      <c r="K229" t="str">
        <f t="shared" si="30"/>
        <v>Keyword ตรง</v>
      </c>
    </row>
    <row r="230" spans="1:11" ht="13.2">
      <c r="A230" s="3"/>
      <c r="B230" s="3"/>
      <c r="C230" s="4"/>
      <c r="D230" s="4" t="s">
        <v>615</v>
      </c>
      <c r="E230" s="4" t="s">
        <v>616</v>
      </c>
      <c r="G230" s="4" t="s">
        <v>617</v>
      </c>
      <c r="I230" s="3">
        <v>1</v>
      </c>
      <c r="J230" t="str">
        <f t="shared" si="31"/>
        <v>ตรงตามเนื้อหา</v>
      </c>
      <c r="K230" t="str">
        <f t="shared" si="30"/>
        <v>Keyword ตรง</v>
      </c>
    </row>
    <row r="231" spans="1:11" ht="13.2">
      <c r="A231" s="3"/>
      <c r="B231" s="3"/>
      <c r="C231" s="4"/>
      <c r="D231" s="4" t="s">
        <v>618</v>
      </c>
      <c r="E231" s="4" t="s">
        <v>619</v>
      </c>
      <c r="G231" s="4" t="s">
        <v>620</v>
      </c>
      <c r="I231" s="3">
        <v>1</v>
      </c>
      <c r="J231" t="str">
        <f t="shared" si="31"/>
        <v>ตรงตามเนื้อหา</v>
      </c>
      <c r="K231" t="str">
        <f t="shared" si="30"/>
        <v>Keyword ตรง</v>
      </c>
    </row>
    <row r="232" spans="1:11" ht="13.2">
      <c r="A232" s="3"/>
      <c r="B232" s="3"/>
      <c r="C232" s="4" t="s">
        <v>621</v>
      </c>
      <c r="D232" s="4" t="s">
        <v>622</v>
      </c>
      <c r="G232" s="4" t="s">
        <v>623</v>
      </c>
      <c r="I232" s="3">
        <v>1</v>
      </c>
      <c r="J232" t="str">
        <f t="shared" si="31"/>
        <v>ตรงตามเนื้อหา</v>
      </c>
      <c r="K232" t="str">
        <f t="shared" si="30"/>
        <v>Keyword ตรง</v>
      </c>
    </row>
    <row r="233" spans="1:11" ht="13.2">
      <c r="A233" s="3"/>
      <c r="B233" s="3"/>
      <c r="C233" s="4" t="s">
        <v>624</v>
      </c>
      <c r="D233" s="4" t="s">
        <v>625</v>
      </c>
      <c r="G233" s="4" t="s">
        <v>626</v>
      </c>
      <c r="I233" s="3">
        <v>1</v>
      </c>
      <c r="J233" t="str">
        <f t="shared" si="31"/>
        <v>ตรงตามเนื้อหา</v>
      </c>
      <c r="K233" t="str">
        <f t="shared" si="30"/>
        <v>Keyword ตรง</v>
      </c>
    </row>
    <row r="234" spans="1:11" ht="13.2">
      <c r="A234" s="3"/>
      <c r="B234" s="3"/>
      <c r="D234" s="4" t="s">
        <v>627</v>
      </c>
      <c r="E234" s="4" t="s">
        <v>628</v>
      </c>
      <c r="G234" s="4" t="s">
        <v>629</v>
      </c>
      <c r="I234" s="3">
        <v>1</v>
      </c>
      <c r="J234" t="str">
        <f t="shared" si="31"/>
        <v>ตรงตามเนื้อหา</v>
      </c>
      <c r="K234" t="str">
        <f t="shared" si="30"/>
        <v>Keyword ตรง</v>
      </c>
    </row>
    <row r="235" spans="1:11" ht="13.2">
      <c r="A235" s="3"/>
      <c r="B235" s="3"/>
      <c r="E235" s="3" t="s">
        <v>630</v>
      </c>
      <c r="F235" s="4" t="s">
        <v>631</v>
      </c>
      <c r="G235" s="4" t="s">
        <v>632</v>
      </c>
      <c r="I235" s="3">
        <v>1</v>
      </c>
      <c r="J235" t="str">
        <f t="shared" si="31"/>
        <v>ตรงตามเนื้อหา</v>
      </c>
      <c r="K235" t="str">
        <f t="shared" si="30"/>
        <v>Keyword ตรง</v>
      </c>
    </row>
    <row r="236" spans="1:11" ht="13.2">
      <c r="A236" s="3"/>
      <c r="B236" s="3"/>
      <c r="E236" s="3" t="s">
        <v>633</v>
      </c>
      <c r="F236" s="4" t="s">
        <v>634</v>
      </c>
      <c r="G236" s="4" t="s">
        <v>635</v>
      </c>
      <c r="I236" s="3">
        <v>1</v>
      </c>
      <c r="J236" t="str">
        <f t="shared" si="31"/>
        <v>ตรงตามเนื้อหา</v>
      </c>
      <c r="K236" t="str">
        <f t="shared" si="30"/>
        <v>Keyword ตรง</v>
      </c>
    </row>
    <row r="237" spans="1:11" ht="13.2">
      <c r="A237" s="3"/>
      <c r="D237" s="4" t="s">
        <v>636</v>
      </c>
      <c r="E237" s="4" t="s">
        <v>637</v>
      </c>
      <c r="G237" s="4" t="s">
        <v>638</v>
      </c>
      <c r="I237" s="3">
        <v>1</v>
      </c>
      <c r="J237" t="str">
        <f t="shared" si="31"/>
        <v>ตรงตามเนื้อหา</v>
      </c>
      <c r="K237" t="str">
        <f t="shared" si="30"/>
        <v>Keyword ตรง</v>
      </c>
    </row>
    <row r="238" spans="1:11" ht="13.2">
      <c r="A238" s="3"/>
      <c r="E238" s="4" t="s">
        <v>636</v>
      </c>
      <c r="F238" s="4" t="s">
        <v>639</v>
      </c>
      <c r="G238" s="4" t="s">
        <v>640</v>
      </c>
      <c r="I238" s="3">
        <v>1</v>
      </c>
      <c r="J238" t="str">
        <f t="shared" si="31"/>
        <v>ตรงตามเนื้อหา</v>
      </c>
      <c r="K238" t="str">
        <f t="shared" si="30"/>
        <v>Keyword ตรง</v>
      </c>
    </row>
    <row r="239" spans="1:11" ht="13.2">
      <c r="A239" s="3"/>
      <c r="B239" s="3">
        <v>3.4</v>
      </c>
      <c r="C239" s="4" t="s">
        <v>641</v>
      </c>
      <c r="G239" s="4" t="s">
        <v>642</v>
      </c>
      <c r="I239" s="3">
        <v>1</v>
      </c>
      <c r="J239" t="str">
        <f t="shared" si="31"/>
        <v>ตรงตามเนื้อหา</v>
      </c>
      <c r="K239" t="str">
        <f t="shared" si="30"/>
        <v>Keyword ตรง</v>
      </c>
    </row>
    <row r="240" spans="1:11" ht="13.2">
      <c r="A240" s="3"/>
      <c r="C240" s="4" t="s">
        <v>643</v>
      </c>
      <c r="D240" s="4" t="s">
        <v>644</v>
      </c>
      <c r="G240" s="4" t="s">
        <v>645</v>
      </c>
      <c r="I240" s="3">
        <v>1</v>
      </c>
      <c r="J240" t="str">
        <f t="shared" si="31"/>
        <v>ตรงตามเนื้อหา</v>
      </c>
      <c r="K240" t="str">
        <f t="shared" si="30"/>
        <v>Keyword ตรง</v>
      </c>
    </row>
    <row r="241" spans="1:11" ht="13.2">
      <c r="A241" s="3"/>
      <c r="C241" s="4" t="s">
        <v>646</v>
      </c>
      <c r="D241" s="4" t="s">
        <v>647</v>
      </c>
      <c r="G241" s="4" t="s">
        <v>648</v>
      </c>
      <c r="I241" s="3">
        <v>1</v>
      </c>
      <c r="J241" t="str">
        <f t="shared" si="31"/>
        <v>ตรงตามเนื้อหา</v>
      </c>
      <c r="K241" t="str">
        <f t="shared" si="30"/>
        <v>Keyword ตรง</v>
      </c>
    </row>
    <row r="242" spans="1:11" ht="13.2">
      <c r="A242" s="3"/>
      <c r="B242" s="3">
        <v>3.5</v>
      </c>
      <c r="C242" s="4" t="s">
        <v>649</v>
      </c>
      <c r="G242" s="4" t="s">
        <v>650</v>
      </c>
      <c r="I242" s="3">
        <v>1</v>
      </c>
      <c r="J242" t="str">
        <f t="shared" si="31"/>
        <v>ตรงตามเนื้อหา</v>
      </c>
      <c r="K242" t="str">
        <f t="shared" si="30"/>
        <v>Keyword ตรง</v>
      </c>
    </row>
    <row r="243" spans="1:11" ht="13.2">
      <c r="A243" s="3"/>
      <c r="C243" s="3" t="s">
        <v>651</v>
      </c>
      <c r="D243" s="4" t="s">
        <v>652</v>
      </c>
      <c r="G243" s="4" t="s">
        <v>653</v>
      </c>
      <c r="I243" s="3">
        <v>1</v>
      </c>
      <c r="J243" t="str">
        <f t="shared" si="31"/>
        <v>ตรงตามเนื้อหา</v>
      </c>
      <c r="K243" t="str">
        <f t="shared" si="30"/>
        <v>Keyword ตรง</v>
      </c>
    </row>
    <row r="244" spans="1:11" ht="13.2">
      <c r="A244" s="3"/>
      <c r="C244" s="3" t="s">
        <v>654</v>
      </c>
      <c r="D244" s="5" t="s">
        <v>655</v>
      </c>
      <c r="G244" s="4" t="s">
        <v>656</v>
      </c>
      <c r="I244" s="3">
        <v>1</v>
      </c>
      <c r="J244" t="str">
        <f t="shared" si="31"/>
        <v>ตรงตามเนื้อหา</v>
      </c>
      <c r="K244" t="str">
        <f t="shared" si="30"/>
        <v>Keyword ตรง</v>
      </c>
    </row>
    <row r="245" spans="1:11" ht="13.2">
      <c r="A245" s="3"/>
      <c r="C245" s="3" t="s">
        <v>658</v>
      </c>
      <c r="D245" s="5" t="s">
        <v>659</v>
      </c>
      <c r="G245" s="4" t="s">
        <v>660</v>
      </c>
      <c r="I245" s="3">
        <v>1</v>
      </c>
      <c r="J245" t="str">
        <f t="shared" si="31"/>
        <v>ตรงตามเนื้อหา</v>
      </c>
      <c r="K245" t="str">
        <f t="shared" si="30"/>
        <v>Keyword ตรง</v>
      </c>
    </row>
    <row r="246" spans="1:11" ht="13.2">
      <c r="A246" s="3"/>
      <c r="D246" s="3" t="s">
        <v>661</v>
      </c>
      <c r="E246" s="4" t="s">
        <v>662</v>
      </c>
      <c r="G246" s="4" t="s">
        <v>663</v>
      </c>
      <c r="I246" s="3">
        <v>1</v>
      </c>
      <c r="J246" t="str">
        <f t="shared" si="31"/>
        <v>ตรงตามเนื้อหา</v>
      </c>
      <c r="K246" t="str">
        <f t="shared" si="30"/>
        <v>Keyword ตรง</v>
      </c>
    </row>
    <row r="247" spans="1:11" ht="13.2">
      <c r="A247" s="3"/>
      <c r="D247" s="3" t="s">
        <v>664</v>
      </c>
      <c r="E247" s="4" t="s">
        <v>665</v>
      </c>
      <c r="G247" s="4" t="s">
        <v>657</v>
      </c>
      <c r="I247" s="3">
        <v>1</v>
      </c>
      <c r="J247" t="str">
        <f t="shared" si="31"/>
        <v>ตรงตามเนื้อหา</v>
      </c>
      <c r="K247" t="str">
        <f t="shared" si="30"/>
        <v>Keyword ตรง</v>
      </c>
    </row>
    <row r="248" spans="1:11" ht="13.2">
      <c r="A248" s="3"/>
      <c r="D248" s="3" t="s">
        <v>666</v>
      </c>
      <c r="E248" s="4" t="s">
        <v>667</v>
      </c>
      <c r="G248" s="4" t="s">
        <v>668</v>
      </c>
      <c r="I248" s="3">
        <v>1</v>
      </c>
      <c r="J248" t="str">
        <f t="shared" si="31"/>
        <v>ตรงตามเนื้อหา</v>
      </c>
      <c r="K248" t="str">
        <f t="shared" si="30"/>
        <v>Keyword ตรง</v>
      </c>
    </row>
    <row r="249" spans="1:11" ht="13.2">
      <c r="A249" s="3"/>
      <c r="D249" s="3" t="s">
        <v>669</v>
      </c>
      <c r="E249" s="4" t="s">
        <v>670</v>
      </c>
      <c r="G249" s="4" t="s">
        <v>671</v>
      </c>
      <c r="I249" s="3">
        <v>1</v>
      </c>
      <c r="J249" t="str">
        <f t="shared" si="31"/>
        <v>ตรงตามเนื้อหา</v>
      </c>
      <c r="K249" t="str">
        <f t="shared" si="30"/>
        <v>Keyword ตรง</v>
      </c>
    </row>
    <row r="250" spans="1:11" ht="13.2">
      <c r="A250" s="3"/>
      <c r="B250" s="4">
        <v>3.6</v>
      </c>
      <c r="C250" s="4" t="s">
        <v>672</v>
      </c>
      <c r="G250" s="4" t="s">
        <v>673</v>
      </c>
      <c r="I250" s="3">
        <v>1</v>
      </c>
      <c r="J250" t="str">
        <f t="shared" si="31"/>
        <v>ตรงตามเนื้อหา</v>
      </c>
      <c r="K250" t="str">
        <f t="shared" si="30"/>
        <v>Keyword ตรง</v>
      </c>
    </row>
    <row r="251" spans="1:11" ht="13.2">
      <c r="A251" s="3"/>
      <c r="C251" s="4" t="s">
        <v>674</v>
      </c>
      <c r="D251" s="4" t="s">
        <v>675</v>
      </c>
      <c r="G251" s="4" t="s">
        <v>676</v>
      </c>
      <c r="I251" s="3">
        <v>1</v>
      </c>
      <c r="J251" t="str">
        <f t="shared" si="31"/>
        <v>ตรงตามเนื้อหา</v>
      </c>
      <c r="K251" t="str">
        <f t="shared" si="30"/>
        <v>Keyword ตรง</v>
      </c>
    </row>
    <row r="252" spans="1:11" ht="13.2">
      <c r="A252" s="3"/>
      <c r="D252" s="4" t="s">
        <v>677</v>
      </c>
      <c r="E252" s="4" t="s">
        <v>678</v>
      </c>
      <c r="G252" s="4" t="s">
        <v>679</v>
      </c>
      <c r="I252" s="3">
        <v>1</v>
      </c>
      <c r="J252" t="str">
        <f t="shared" si="31"/>
        <v>ตรงตามเนื้อหา</v>
      </c>
      <c r="K252" t="str">
        <f t="shared" si="30"/>
        <v>Keyword ตรง</v>
      </c>
    </row>
    <row r="253" spans="1:11" ht="13.2">
      <c r="A253" s="3"/>
      <c r="D253" s="4" t="s">
        <v>680</v>
      </c>
      <c r="E253" s="4" t="s">
        <v>681</v>
      </c>
      <c r="G253" s="4" t="s">
        <v>682</v>
      </c>
      <c r="I253" s="3">
        <v>1</v>
      </c>
      <c r="J253" t="str">
        <f t="shared" si="31"/>
        <v>ตรงตามเนื้อหา</v>
      </c>
      <c r="K253" t="str">
        <f t="shared" si="30"/>
        <v>Keyword ตรง</v>
      </c>
    </row>
    <row r="254" spans="1:11" ht="13.2">
      <c r="A254" s="3"/>
      <c r="C254" s="4" t="s">
        <v>683</v>
      </c>
      <c r="D254" s="4" t="s">
        <v>684</v>
      </c>
      <c r="G254" s="4" t="s">
        <v>685</v>
      </c>
      <c r="I254" s="3">
        <v>1</v>
      </c>
      <c r="J254" t="str">
        <f t="shared" si="31"/>
        <v>ตรงตามเนื้อหา</v>
      </c>
      <c r="K254" t="str">
        <f t="shared" si="30"/>
        <v>Keyword ตรง</v>
      </c>
    </row>
    <row r="255" spans="1:11" ht="13.2">
      <c r="A255" s="3"/>
      <c r="D255" s="4" t="s">
        <v>686</v>
      </c>
      <c r="E255" s="5" t="s">
        <v>687</v>
      </c>
      <c r="G255" s="4" t="s">
        <v>688</v>
      </c>
      <c r="I255" s="3">
        <v>1</v>
      </c>
      <c r="J255" t="str">
        <f t="shared" si="31"/>
        <v>ตรงตามเนื้อหา</v>
      </c>
      <c r="K255" t="str">
        <f t="shared" si="30"/>
        <v>Keyword ตรง</v>
      </c>
    </row>
    <row r="256" spans="1:11" ht="13.2">
      <c r="A256" s="3"/>
      <c r="D256" s="4" t="s">
        <v>689</v>
      </c>
      <c r="E256" s="4" t="s">
        <v>690</v>
      </c>
      <c r="G256" s="4" t="s">
        <v>691</v>
      </c>
      <c r="I256" s="3">
        <v>1</v>
      </c>
      <c r="J256" t="str">
        <f t="shared" si="31"/>
        <v>ตรงตามเนื้อหา</v>
      </c>
      <c r="K256" t="str">
        <f t="shared" si="30"/>
        <v>Keyword ตรง</v>
      </c>
    </row>
    <row r="257" spans="1:11" ht="13.2">
      <c r="A257" s="3"/>
      <c r="D257" s="4" t="s">
        <v>692</v>
      </c>
      <c r="E257" s="4" t="s">
        <v>693</v>
      </c>
      <c r="G257" s="4" t="s">
        <v>694</v>
      </c>
      <c r="I257" s="3">
        <v>1</v>
      </c>
      <c r="J257" t="str">
        <f t="shared" si="31"/>
        <v>ตรงตามเนื้อหา</v>
      </c>
      <c r="K257" t="str">
        <f t="shared" si="30"/>
        <v>Keyword ตรง</v>
      </c>
    </row>
    <row r="258" spans="1:11" ht="13.2">
      <c r="A258" s="3"/>
      <c r="C258" s="4" t="s">
        <v>695</v>
      </c>
      <c r="D258" s="4" t="s">
        <v>696</v>
      </c>
      <c r="G258" s="4" t="s">
        <v>697</v>
      </c>
      <c r="I258" s="3">
        <v>1</v>
      </c>
      <c r="J258" t="str">
        <f t="shared" si="31"/>
        <v>ตรงตามเนื้อหา</v>
      </c>
      <c r="K258" t="str">
        <f t="shared" si="30"/>
        <v>Keyword ตรง</v>
      </c>
    </row>
    <row r="259" spans="1:11" ht="13.2">
      <c r="A259" s="3"/>
      <c r="D259" s="4" t="s">
        <v>698</v>
      </c>
      <c r="E259" s="5" t="s">
        <v>699</v>
      </c>
      <c r="G259" s="4" t="s">
        <v>700</v>
      </c>
      <c r="I259" s="3">
        <v>1</v>
      </c>
      <c r="J259" t="str">
        <f t="shared" si="31"/>
        <v>ตรงตามเนื้อหา</v>
      </c>
      <c r="K259" t="str">
        <f t="shared" si="30"/>
        <v>Keyword ตรง</v>
      </c>
    </row>
    <row r="260" spans="1:11" ht="13.2">
      <c r="A260" s="3"/>
      <c r="D260" s="4" t="s">
        <v>701</v>
      </c>
      <c r="E260" s="4" t="s">
        <v>702</v>
      </c>
      <c r="G260" s="4" t="s">
        <v>703</v>
      </c>
      <c r="I260" s="3">
        <v>1</v>
      </c>
      <c r="J260" t="str">
        <f t="shared" si="31"/>
        <v>ตรงตามเนื้อหา</v>
      </c>
      <c r="K260" t="str">
        <f t="shared" si="30"/>
        <v>Keyword ตรง</v>
      </c>
    </row>
    <row r="261" spans="1:11" ht="13.2">
      <c r="A261" s="3"/>
      <c r="D261" s="4" t="s">
        <v>704</v>
      </c>
      <c r="E261" s="4" t="s">
        <v>705</v>
      </c>
      <c r="G261" s="4" t="s">
        <v>706</v>
      </c>
      <c r="I261" s="3">
        <v>1</v>
      </c>
      <c r="J261" t="str">
        <f t="shared" si="31"/>
        <v>ตรงตามเนื้อหา</v>
      </c>
      <c r="K261" t="str">
        <f t="shared" si="30"/>
        <v>Keyword ตรง</v>
      </c>
    </row>
    <row r="262" spans="1:11" ht="13.2">
      <c r="A262" s="3"/>
    </row>
    <row r="263" spans="1:11" ht="13.2">
      <c r="A263" s="3"/>
    </row>
    <row r="264" spans="1:11" ht="13.2">
      <c r="A264" s="3"/>
      <c r="K264">
        <f>+COUNTA(K3:K261)</f>
        <v>219</v>
      </c>
    </row>
    <row r="265" spans="1:11" ht="13.2">
      <c r="A265" s="3"/>
    </row>
    <row r="266" spans="1:11" ht="13.2">
      <c r="A266" s="3"/>
    </row>
    <row r="267" spans="1:11" ht="13.2">
      <c r="A267" s="3"/>
    </row>
    <row r="268" spans="1:11" ht="13.2">
      <c r="A268" s="3"/>
    </row>
    <row r="269" spans="1:11" ht="13.2">
      <c r="A269" s="3"/>
    </row>
    <row r="270" spans="1:11" ht="13.2">
      <c r="A270" s="3"/>
    </row>
    <row r="271" spans="1:11" ht="13.2">
      <c r="A271" s="3"/>
    </row>
    <row r="272" spans="1:11" ht="13.2">
      <c r="A272" s="3"/>
    </row>
    <row r="273" spans="1:1" ht="13.2">
      <c r="A273" s="3"/>
    </row>
    <row r="274" spans="1:1" ht="13.2">
      <c r="A274" s="3"/>
    </row>
    <row r="275" spans="1:1" ht="13.2">
      <c r="A275" s="3"/>
    </row>
    <row r="276" spans="1:1" ht="13.2">
      <c r="A276" s="3"/>
    </row>
    <row r="277" spans="1:1" ht="13.2">
      <c r="A277" s="3"/>
    </row>
    <row r="278" spans="1:1" ht="13.2">
      <c r="A278" s="3"/>
    </row>
    <row r="279" spans="1:1" ht="13.2">
      <c r="A279" s="3"/>
    </row>
    <row r="280" spans="1:1" ht="13.2">
      <c r="A280" s="3"/>
    </row>
    <row r="281" spans="1:1" ht="13.2">
      <c r="A281" s="3"/>
    </row>
    <row r="282" spans="1:1" ht="13.2">
      <c r="A282" s="3"/>
    </row>
    <row r="283" spans="1:1" ht="13.2">
      <c r="A283" s="3"/>
    </row>
    <row r="284" spans="1:1" ht="13.2">
      <c r="A284" s="3"/>
    </row>
    <row r="285" spans="1:1" ht="13.2">
      <c r="A285" s="3"/>
    </row>
    <row r="286" spans="1:1" ht="13.2">
      <c r="A286" s="3"/>
    </row>
    <row r="287" spans="1:1" ht="13.2">
      <c r="A287" s="3"/>
    </row>
    <row r="288" spans="1:1" ht="13.2">
      <c r="A288" s="3"/>
    </row>
    <row r="289" spans="1:1" ht="13.2">
      <c r="A289" s="3"/>
    </row>
    <row r="290" spans="1:1" ht="13.2">
      <c r="A290" s="3"/>
    </row>
    <row r="291" spans="1:1" ht="13.2">
      <c r="A291" s="3"/>
    </row>
    <row r="292" spans="1:1" ht="13.2">
      <c r="A292" s="3"/>
    </row>
    <row r="293" spans="1:1" ht="13.2">
      <c r="A293" s="3"/>
    </row>
    <row r="294" spans="1:1" ht="13.2">
      <c r="A294" s="3"/>
    </row>
    <row r="295" spans="1:1" ht="13.2">
      <c r="A295" s="3"/>
    </row>
    <row r="296" spans="1:1" ht="13.2">
      <c r="A296" s="3"/>
    </row>
    <row r="297" spans="1:1" ht="13.2">
      <c r="A297" s="3"/>
    </row>
    <row r="298" spans="1:1" ht="13.2">
      <c r="A298" s="3"/>
    </row>
    <row r="299" spans="1:1" ht="13.2">
      <c r="A299" s="3"/>
    </row>
    <row r="300" spans="1:1" ht="13.2">
      <c r="A300" s="3"/>
    </row>
    <row r="301" spans="1:1" ht="13.2">
      <c r="A301" s="3"/>
    </row>
    <row r="302" spans="1:1" ht="13.2">
      <c r="A302" s="3"/>
    </row>
    <row r="303" spans="1:1" ht="13.2">
      <c r="A303" s="3"/>
    </row>
    <row r="304" spans="1:1" ht="13.2">
      <c r="A304" s="3"/>
    </row>
    <row r="305" spans="1:1" ht="13.2">
      <c r="A305" s="3"/>
    </row>
    <row r="306" spans="1:1" ht="13.2">
      <c r="A306" s="3"/>
    </row>
    <row r="307" spans="1:1" ht="13.2">
      <c r="A307" s="3"/>
    </row>
    <row r="308" spans="1:1" ht="13.2">
      <c r="A308" s="3"/>
    </row>
    <row r="309" spans="1:1" ht="13.2">
      <c r="A309" s="3"/>
    </row>
    <row r="310" spans="1:1" ht="13.2">
      <c r="A310" s="3"/>
    </row>
    <row r="311" spans="1:1" ht="13.2">
      <c r="A311" s="3"/>
    </row>
    <row r="312" spans="1:1" ht="13.2">
      <c r="A312" s="3"/>
    </row>
    <row r="313" spans="1:1" ht="13.2">
      <c r="A313" s="3"/>
    </row>
    <row r="314" spans="1:1" ht="13.2">
      <c r="A314" s="3"/>
    </row>
    <row r="315" spans="1:1" ht="13.2">
      <c r="A315" s="3"/>
    </row>
    <row r="316" spans="1:1" ht="13.2">
      <c r="A316" s="3"/>
    </row>
    <row r="317" spans="1:1" ht="13.2">
      <c r="A317" s="3"/>
    </row>
    <row r="318" spans="1:1" ht="13.2">
      <c r="A318" s="3"/>
    </row>
    <row r="319" spans="1:1" ht="13.2">
      <c r="A319" s="3"/>
    </row>
    <row r="320" spans="1:1" ht="13.2">
      <c r="A320" s="3"/>
    </row>
    <row r="321" spans="1:1" ht="13.2">
      <c r="A321" s="3"/>
    </row>
    <row r="322" spans="1:1" ht="13.2">
      <c r="A322" s="3"/>
    </row>
    <row r="323" spans="1:1" ht="13.2">
      <c r="A323" s="3"/>
    </row>
    <row r="324" spans="1:1" ht="13.2">
      <c r="A324" s="3"/>
    </row>
    <row r="325" spans="1:1" ht="13.2">
      <c r="A325" s="3"/>
    </row>
    <row r="326" spans="1:1" ht="13.2">
      <c r="A326" s="3"/>
    </row>
    <row r="327" spans="1:1" ht="13.2">
      <c r="A327" s="3"/>
    </row>
    <row r="328" spans="1:1" ht="13.2">
      <c r="A328" s="3"/>
    </row>
    <row r="329" spans="1:1" ht="13.2">
      <c r="A329" s="3"/>
    </row>
    <row r="330" spans="1:1" ht="13.2">
      <c r="A330" s="3"/>
    </row>
    <row r="331" spans="1:1" ht="13.2">
      <c r="A331" s="3"/>
    </row>
    <row r="332" spans="1:1" ht="13.2">
      <c r="A332" s="3"/>
    </row>
    <row r="333" spans="1:1" ht="13.2">
      <c r="A333" s="3"/>
    </row>
    <row r="334" spans="1:1" ht="13.2">
      <c r="A334" s="3"/>
    </row>
    <row r="335" spans="1:1" ht="13.2">
      <c r="A335" s="3"/>
    </row>
    <row r="336" spans="1:1" ht="13.2">
      <c r="A336" s="3"/>
    </row>
    <row r="337" spans="1:1" ht="13.2">
      <c r="A337" s="3"/>
    </row>
    <row r="338" spans="1:1" ht="13.2">
      <c r="A338" s="3"/>
    </row>
    <row r="339" spans="1:1" ht="13.2">
      <c r="A339" s="3"/>
    </row>
    <row r="340" spans="1:1" ht="13.2">
      <c r="A340" s="3"/>
    </row>
    <row r="341" spans="1:1" ht="13.2">
      <c r="A341" s="3"/>
    </row>
    <row r="342" spans="1:1" ht="13.2">
      <c r="A342" s="3"/>
    </row>
    <row r="343" spans="1:1" ht="13.2">
      <c r="A343" s="3"/>
    </row>
    <row r="344" spans="1:1" ht="13.2">
      <c r="A344" s="3"/>
    </row>
    <row r="345" spans="1:1" ht="13.2">
      <c r="A345" s="3"/>
    </row>
    <row r="346" spans="1:1" ht="13.2">
      <c r="A346" s="3"/>
    </row>
    <row r="347" spans="1:1" ht="13.2">
      <c r="A347" s="3"/>
    </row>
    <row r="348" spans="1:1" ht="13.2">
      <c r="A348" s="3"/>
    </row>
    <row r="349" spans="1:1" ht="13.2">
      <c r="A349" s="3"/>
    </row>
    <row r="350" spans="1:1" ht="13.2">
      <c r="A350" s="3"/>
    </row>
    <row r="351" spans="1:1" ht="13.2">
      <c r="A351" s="3"/>
    </row>
    <row r="352" spans="1:1" ht="13.2">
      <c r="A352" s="3"/>
    </row>
    <row r="353" spans="1:1" ht="13.2">
      <c r="A353" s="3"/>
    </row>
    <row r="354" spans="1:1" ht="13.2">
      <c r="A354" s="3"/>
    </row>
    <row r="355" spans="1:1" ht="13.2">
      <c r="A355" s="3"/>
    </row>
    <row r="356" spans="1:1" ht="13.2">
      <c r="A356" s="3"/>
    </row>
    <row r="357" spans="1:1" ht="13.2">
      <c r="A357" s="3"/>
    </row>
    <row r="358" spans="1:1" ht="13.2">
      <c r="A358" s="3"/>
    </row>
    <row r="359" spans="1:1" ht="13.2">
      <c r="A359" s="3"/>
    </row>
    <row r="360" spans="1:1" ht="13.2">
      <c r="A360" s="3"/>
    </row>
    <row r="361" spans="1:1" ht="13.2">
      <c r="A361" s="3"/>
    </row>
    <row r="362" spans="1:1" ht="13.2">
      <c r="A362" s="3"/>
    </row>
    <row r="363" spans="1:1" ht="13.2">
      <c r="A363" s="3"/>
    </row>
    <row r="364" spans="1:1" ht="13.2">
      <c r="A364" s="3"/>
    </row>
    <row r="365" spans="1:1" ht="13.2">
      <c r="A365" s="3"/>
    </row>
    <row r="366" spans="1:1" ht="13.2">
      <c r="A366" s="3"/>
    </row>
    <row r="367" spans="1:1" ht="13.2">
      <c r="A367" s="3"/>
    </row>
    <row r="368" spans="1:1" ht="13.2">
      <c r="A368" s="3"/>
    </row>
    <row r="369" spans="1:1" ht="13.2">
      <c r="A369" s="3"/>
    </row>
    <row r="370" spans="1:1" ht="13.2">
      <c r="A370" s="3"/>
    </row>
    <row r="371" spans="1:1" ht="13.2">
      <c r="A371" s="3"/>
    </row>
    <row r="372" spans="1:1" ht="13.2">
      <c r="A372" s="3"/>
    </row>
    <row r="373" spans="1:1" ht="13.2">
      <c r="A373" s="3"/>
    </row>
    <row r="374" spans="1:1" ht="13.2">
      <c r="A374" s="3"/>
    </row>
    <row r="375" spans="1:1" ht="13.2">
      <c r="A375" s="3"/>
    </row>
    <row r="376" spans="1:1" ht="13.2">
      <c r="A376" s="3"/>
    </row>
    <row r="377" spans="1:1" ht="13.2">
      <c r="A377" s="3"/>
    </row>
    <row r="378" spans="1:1" ht="13.2">
      <c r="A378" s="3"/>
    </row>
    <row r="379" spans="1:1" ht="13.2">
      <c r="A379" s="3"/>
    </row>
    <row r="380" spans="1:1" ht="13.2">
      <c r="A380" s="3"/>
    </row>
    <row r="381" spans="1:1" ht="13.2">
      <c r="A381" s="3"/>
    </row>
    <row r="382" spans="1:1" ht="13.2">
      <c r="A382" s="3"/>
    </row>
    <row r="383" spans="1:1" ht="13.2">
      <c r="A383" s="3"/>
    </row>
    <row r="384" spans="1:1" ht="13.2">
      <c r="A384" s="3"/>
    </row>
    <row r="385" spans="1:1" ht="13.2">
      <c r="A385" s="3"/>
    </row>
    <row r="386" spans="1:1" ht="13.2">
      <c r="A386" s="3"/>
    </row>
    <row r="387" spans="1:1" ht="13.2">
      <c r="A387" s="3"/>
    </row>
    <row r="388" spans="1:1" ht="13.2">
      <c r="A388" s="3"/>
    </row>
    <row r="389" spans="1:1" ht="13.2">
      <c r="A389" s="3"/>
    </row>
    <row r="390" spans="1:1" ht="13.2">
      <c r="A390" s="3"/>
    </row>
    <row r="391" spans="1:1" ht="13.2">
      <c r="A391" s="3"/>
    </row>
    <row r="392" spans="1:1" ht="13.2">
      <c r="A392" s="3"/>
    </row>
    <row r="393" spans="1:1" ht="13.2">
      <c r="A393" s="3"/>
    </row>
    <row r="394" spans="1:1" ht="13.2">
      <c r="A394" s="3"/>
    </row>
    <row r="395" spans="1:1" ht="13.2">
      <c r="A395" s="3"/>
    </row>
    <row r="396" spans="1:1" ht="13.2">
      <c r="A396" s="3"/>
    </row>
    <row r="397" spans="1:1" ht="13.2">
      <c r="A397" s="3"/>
    </row>
    <row r="398" spans="1:1" ht="13.2">
      <c r="A398" s="3"/>
    </row>
    <row r="399" spans="1:1" ht="13.2">
      <c r="A399" s="3"/>
    </row>
    <row r="400" spans="1:1" ht="13.2">
      <c r="A400" s="3"/>
    </row>
    <row r="401" spans="1:1" ht="13.2">
      <c r="A401" s="3"/>
    </row>
    <row r="402" spans="1:1" ht="13.2">
      <c r="A402" s="3"/>
    </row>
    <row r="403" spans="1:1" ht="13.2">
      <c r="A403" s="3"/>
    </row>
    <row r="404" spans="1:1" ht="13.2">
      <c r="A404" s="3"/>
    </row>
    <row r="405" spans="1:1" ht="13.2">
      <c r="A405" s="3"/>
    </row>
    <row r="406" spans="1:1" ht="13.2">
      <c r="A406" s="3"/>
    </row>
    <row r="407" spans="1:1" ht="13.2">
      <c r="A407" s="3"/>
    </row>
    <row r="408" spans="1:1" ht="13.2">
      <c r="A408" s="3"/>
    </row>
    <row r="409" spans="1:1" ht="13.2">
      <c r="A409" s="3"/>
    </row>
    <row r="410" spans="1:1" ht="13.2">
      <c r="A410" s="3"/>
    </row>
    <row r="411" spans="1:1" ht="13.2">
      <c r="A411" s="3"/>
    </row>
    <row r="412" spans="1:1" ht="13.2">
      <c r="A412" s="3"/>
    </row>
    <row r="413" spans="1:1" ht="13.2">
      <c r="A413" s="3"/>
    </row>
    <row r="414" spans="1:1" ht="13.2">
      <c r="A414" s="3"/>
    </row>
    <row r="415" spans="1:1" ht="13.2">
      <c r="A415" s="3"/>
    </row>
    <row r="416" spans="1:1" ht="13.2">
      <c r="A416" s="3"/>
    </row>
    <row r="417" spans="1:1" ht="13.2">
      <c r="A417" s="3"/>
    </row>
    <row r="418" spans="1:1" ht="13.2">
      <c r="A418" s="3"/>
    </row>
    <row r="419" spans="1:1" ht="13.2">
      <c r="A419" s="3"/>
    </row>
    <row r="420" spans="1:1" ht="13.2">
      <c r="A420" s="3"/>
    </row>
    <row r="421" spans="1:1" ht="13.2">
      <c r="A421" s="3"/>
    </row>
    <row r="422" spans="1:1" ht="13.2">
      <c r="A422" s="3"/>
    </row>
    <row r="423" spans="1:1" ht="13.2">
      <c r="A423" s="3"/>
    </row>
    <row r="424" spans="1:1" ht="13.2">
      <c r="A424" s="3"/>
    </row>
    <row r="425" spans="1:1" ht="13.2">
      <c r="A425" s="3"/>
    </row>
    <row r="426" spans="1:1" ht="13.2">
      <c r="A426" s="3"/>
    </row>
    <row r="427" spans="1:1" ht="13.2">
      <c r="A427" s="3"/>
    </row>
    <row r="428" spans="1:1" ht="13.2">
      <c r="A428" s="3"/>
    </row>
    <row r="429" spans="1:1" ht="13.2">
      <c r="A429" s="3"/>
    </row>
    <row r="430" spans="1:1" ht="13.2">
      <c r="A430" s="3"/>
    </row>
    <row r="431" spans="1:1" ht="13.2">
      <c r="A431" s="3"/>
    </row>
    <row r="432" spans="1:1" ht="13.2">
      <c r="A432" s="3"/>
    </row>
    <row r="433" spans="1:1" ht="13.2">
      <c r="A433" s="3"/>
    </row>
    <row r="434" spans="1:1" ht="13.2">
      <c r="A434" s="3"/>
    </row>
    <row r="435" spans="1:1" ht="13.2">
      <c r="A435" s="3"/>
    </row>
    <row r="436" spans="1:1" ht="13.2">
      <c r="A436" s="3"/>
    </row>
    <row r="437" spans="1:1" ht="13.2">
      <c r="A437" s="3"/>
    </row>
    <row r="438" spans="1:1" ht="13.2">
      <c r="A438" s="3"/>
    </row>
    <row r="439" spans="1:1" ht="13.2">
      <c r="A439" s="3"/>
    </row>
    <row r="440" spans="1:1" ht="13.2">
      <c r="A440" s="3"/>
    </row>
    <row r="441" spans="1:1" ht="13.2">
      <c r="A441" s="3"/>
    </row>
    <row r="442" spans="1:1" ht="13.2">
      <c r="A442" s="3"/>
    </row>
    <row r="443" spans="1:1" ht="13.2">
      <c r="A443" s="3"/>
    </row>
    <row r="444" spans="1:1" ht="13.2">
      <c r="A444" s="3"/>
    </row>
    <row r="445" spans="1:1" ht="13.2">
      <c r="A445" s="3"/>
    </row>
    <row r="446" spans="1:1" ht="13.2">
      <c r="A446" s="3"/>
    </row>
    <row r="447" spans="1:1" ht="13.2">
      <c r="A447" s="3"/>
    </row>
    <row r="448" spans="1:1" ht="13.2">
      <c r="A448" s="3"/>
    </row>
    <row r="449" spans="1:1" ht="13.2">
      <c r="A449" s="3"/>
    </row>
    <row r="450" spans="1:1" ht="13.2">
      <c r="A450" s="3"/>
    </row>
    <row r="451" spans="1:1" ht="13.2">
      <c r="A451" s="3"/>
    </row>
    <row r="452" spans="1:1" ht="13.2">
      <c r="A452" s="3"/>
    </row>
    <row r="453" spans="1:1" ht="13.2">
      <c r="A453" s="3"/>
    </row>
    <row r="454" spans="1:1" ht="13.2">
      <c r="A454" s="3"/>
    </row>
    <row r="455" spans="1:1" ht="13.2">
      <c r="A455" s="3"/>
    </row>
    <row r="456" spans="1:1" ht="13.2">
      <c r="A456" s="3"/>
    </row>
    <row r="457" spans="1:1" ht="13.2">
      <c r="A457" s="3"/>
    </row>
    <row r="458" spans="1:1" ht="13.2">
      <c r="A458" s="3"/>
    </row>
    <row r="459" spans="1:1" ht="13.2">
      <c r="A459" s="3"/>
    </row>
    <row r="460" spans="1:1" ht="13.2">
      <c r="A460" s="3"/>
    </row>
    <row r="461" spans="1:1" ht="13.2">
      <c r="A461" s="3"/>
    </row>
    <row r="462" spans="1:1" ht="13.2">
      <c r="A462" s="3"/>
    </row>
    <row r="463" spans="1:1" ht="13.2">
      <c r="A463" s="3"/>
    </row>
    <row r="464" spans="1:1" ht="13.2">
      <c r="A464" s="3"/>
    </row>
    <row r="465" spans="1:1" ht="13.2">
      <c r="A465" s="3"/>
    </row>
    <row r="466" spans="1:1" ht="13.2">
      <c r="A466" s="3"/>
    </row>
    <row r="467" spans="1:1" ht="13.2">
      <c r="A467" s="3"/>
    </row>
    <row r="468" spans="1:1" ht="13.2">
      <c r="A468" s="3"/>
    </row>
    <row r="469" spans="1:1" ht="13.2">
      <c r="A469" s="3"/>
    </row>
    <row r="470" spans="1:1" ht="13.2">
      <c r="A470" s="3"/>
    </row>
    <row r="471" spans="1:1" ht="13.2">
      <c r="A471" s="3"/>
    </row>
    <row r="472" spans="1:1" ht="13.2">
      <c r="A472" s="3"/>
    </row>
    <row r="473" spans="1:1" ht="13.2">
      <c r="A473" s="3"/>
    </row>
    <row r="474" spans="1:1" ht="13.2">
      <c r="A474" s="3"/>
    </row>
    <row r="475" spans="1:1" ht="13.2">
      <c r="A475" s="3"/>
    </row>
    <row r="476" spans="1:1" ht="13.2">
      <c r="A476" s="3"/>
    </row>
    <row r="477" spans="1:1" ht="13.2">
      <c r="A477" s="3"/>
    </row>
    <row r="478" spans="1:1" ht="13.2">
      <c r="A478" s="3"/>
    </row>
    <row r="479" spans="1:1" ht="13.2">
      <c r="A479" s="3"/>
    </row>
    <row r="480" spans="1:1" ht="13.2">
      <c r="A480" s="3"/>
    </row>
    <row r="481" spans="1:1" ht="13.2">
      <c r="A481" s="3"/>
    </row>
    <row r="482" spans="1:1" ht="13.2">
      <c r="A482" s="3"/>
    </row>
    <row r="483" spans="1:1" ht="13.2">
      <c r="A483" s="3"/>
    </row>
    <row r="484" spans="1:1" ht="13.2">
      <c r="A484" s="3"/>
    </row>
    <row r="485" spans="1:1" ht="13.2">
      <c r="A485" s="3"/>
    </row>
    <row r="486" spans="1:1" ht="13.2">
      <c r="A486" s="3"/>
    </row>
    <row r="487" spans="1:1" ht="13.2">
      <c r="A487" s="3"/>
    </row>
    <row r="488" spans="1:1" ht="13.2">
      <c r="A488" s="3"/>
    </row>
    <row r="489" spans="1:1" ht="13.2">
      <c r="A489" s="3"/>
    </row>
    <row r="490" spans="1:1" ht="13.2">
      <c r="A490" s="3"/>
    </row>
    <row r="491" spans="1:1" ht="13.2">
      <c r="A491" s="3"/>
    </row>
    <row r="492" spans="1:1" ht="13.2">
      <c r="A492" s="3"/>
    </row>
    <row r="493" spans="1:1" ht="13.2">
      <c r="A493" s="3"/>
    </row>
    <row r="494" spans="1:1" ht="13.2">
      <c r="A494" s="3"/>
    </row>
    <row r="495" spans="1:1" ht="13.2">
      <c r="A495" s="3"/>
    </row>
    <row r="496" spans="1:1" ht="13.2">
      <c r="A496" s="3"/>
    </row>
    <row r="497" spans="1:1" ht="13.2">
      <c r="A497" s="3"/>
    </row>
    <row r="498" spans="1:1" ht="13.2">
      <c r="A498" s="3"/>
    </row>
    <row r="499" spans="1:1" ht="13.2">
      <c r="A499" s="3"/>
    </row>
    <row r="500" spans="1:1" ht="13.2">
      <c r="A500" s="3"/>
    </row>
    <row r="501" spans="1:1" ht="13.2">
      <c r="A501" s="3"/>
    </row>
    <row r="502" spans="1:1" ht="13.2">
      <c r="A502" s="3"/>
    </row>
    <row r="503" spans="1:1" ht="13.2">
      <c r="A503" s="3"/>
    </row>
    <row r="504" spans="1:1" ht="13.2">
      <c r="A504" s="3"/>
    </row>
    <row r="505" spans="1:1" ht="13.2">
      <c r="A505" s="3"/>
    </row>
    <row r="506" spans="1:1" ht="13.2">
      <c r="A506" s="3"/>
    </row>
    <row r="507" spans="1:1" ht="13.2">
      <c r="A507" s="3"/>
    </row>
    <row r="508" spans="1:1" ht="13.2">
      <c r="A508" s="3"/>
    </row>
    <row r="509" spans="1:1" ht="13.2">
      <c r="A509" s="3"/>
    </row>
    <row r="510" spans="1:1" ht="13.2">
      <c r="A510" s="3"/>
    </row>
    <row r="511" spans="1:1" ht="13.2">
      <c r="A511" s="3"/>
    </row>
    <row r="512" spans="1:1" ht="13.2">
      <c r="A512" s="3"/>
    </row>
    <row r="513" spans="1:1" ht="13.2">
      <c r="A513" s="3"/>
    </row>
    <row r="514" spans="1:1" ht="13.2">
      <c r="A514" s="3"/>
    </row>
    <row r="515" spans="1:1" ht="13.2">
      <c r="A515" s="3"/>
    </row>
    <row r="516" spans="1:1" ht="13.2">
      <c r="A516" s="3"/>
    </row>
    <row r="517" spans="1:1" ht="13.2">
      <c r="A517" s="3"/>
    </row>
    <row r="518" spans="1:1" ht="13.2">
      <c r="A518" s="3"/>
    </row>
    <row r="519" spans="1:1" ht="13.2">
      <c r="A519" s="3"/>
    </row>
    <row r="520" spans="1:1" ht="13.2">
      <c r="A520" s="3"/>
    </row>
    <row r="521" spans="1:1" ht="13.2">
      <c r="A521" s="3"/>
    </row>
    <row r="522" spans="1:1" ht="13.2">
      <c r="A522" s="3"/>
    </row>
    <row r="523" spans="1:1" ht="13.2">
      <c r="A523" s="3"/>
    </row>
    <row r="524" spans="1:1" ht="13.2">
      <c r="A524" s="3"/>
    </row>
    <row r="525" spans="1:1" ht="13.2">
      <c r="A525" s="3"/>
    </row>
    <row r="526" spans="1:1" ht="13.2">
      <c r="A526" s="3"/>
    </row>
    <row r="527" spans="1:1" ht="13.2">
      <c r="A527" s="3"/>
    </row>
    <row r="528" spans="1:1" ht="13.2">
      <c r="A528" s="3"/>
    </row>
    <row r="529" spans="1:1" ht="13.2">
      <c r="A529" s="3"/>
    </row>
    <row r="530" spans="1:1" ht="13.2">
      <c r="A530" s="3"/>
    </row>
    <row r="531" spans="1:1" ht="13.2">
      <c r="A531" s="3"/>
    </row>
    <row r="532" spans="1:1" ht="13.2">
      <c r="A532" s="3"/>
    </row>
    <row r="533" spans="1:1" ht="13.2">
      <c r="A533" s="3"/>
    </row>
    <row r="534" spans="1:1" ht="13.2">
      <c r="A534" s="3"/>
    </row>
    <row r="535" spans="1:1" ht="13.2">
      <c r="A535" s="3"/>
    </row>
    <row r="536" spans="1:1" ht="13.2">
      <c r="A536" s="3"/>
    </row>
    <row r="537" spans="1:1" ht="13.2">
      <c r="A537" s="3"/>
    </row>
    <row r="538" spans="1:1" ht="13.2">
      <c r="A538" s="3"/>
    </row>
    <row r="539" spans="1:1" ht="13.2">
      <c r="A539" s="3"/>
    </row>
    <row r="540" spans="1:1" ht="13.2">
      <c r="A540" s="3"/>
    </row>
    <row r="541" spans="1:1" ht="13.2">
      <c r="A541" s="3"/>
    </row>
    <row r="542" spans="1:1" ht="13.2">
      <c r="A542" s="3"/>
    </row>
    <row r="543" spans="1:1" ht="13.2">
      <c r="A543" s="3"/>
    </row>
    <row r="544" spans="1:1" ht="13.2">
      <c r="A544" s="3"/>
    </row>
    <row r="545" spans="1:1" ht="13.2">
      <c r="A545" s="3"/>
    </row>
    <row r="546" spans="1:1" ht="13.2">
      <c r="A546" s="3"/>
    </row>
    <row r="547" spans="1:1" ht="13.2">
      <c r="A547" s="3"/>
    </row>
    <row r="548" spans="1:1" ht="13.2">
      <c r="A548" s="3"/>
    </row>
    <row r="549" spans="1:1" ht="13.2">
      <c r="A549" s="3"/>
    </row>
    <row r="550" spans="1:1" ht="13.2">
      <c r="A550" s="3"/>
    </row>
    <row r="551" spans="1:1" ht="13.2">
      <c r="A551" s="3"/>
    </row>
    <row r="552" spans="1:1" ht="13.2">
      <c r="A552" s="3"/>
    </row>
    <row r="553" spans="1:1" ht="13.2">
      <c r="A553" s="3"/>
    </row>
    <row r="554" spans="1:1" ht="13.2">
      <c r="A554" s="3"/>
    </row>
    <row r="555" spans="1:1" ht="13.2">
      <c r="A555" s="3"/>
    </row>
    <row r="556" spans="1:1" ht="13.2">
      <c r="A556" s="3"/>
    </row>
    <row r="557" spans="1:1" ht="13.2">
      <c r="A557" s="3"/>
    </row>
    <row r="558" spans="1:1" ht="13.2">
      <c r="A558" s="3"/>
    </row>
    <row r="559" spans="1:1" ht="13.2">
      <c r="A559" s="3"/>
    </row>
    <row r="560" spans="1:1" ht="13.2">
      <c r="A560" s="3"/>
    </row>
    <row r="561" spans="1:1" ht="13.2">
      <c r="A561" s="3"/>
    </row>
    <row r="562" spans="1:1" ht="13.2">
      <c r="A562" s="3"/>
    </row>
    <row r="563" spans="1:1" ht="13.2">
      <c r="A563" s="3"/>
    </row>
    <row r="564" spans="1:1" ht="13.2">
      <c r="A564" s="3"/>
    </row>
    <row r="565" spans="1:1" ht="13.2">
      <c r="A565" s="3"/>
    </row>
    <row r="566" spans="1:1" ht="13.2">
      <c r="A566" s="3"/>
    </row>
    <row r="567" spans="1:1" ht="13.2">
      <c r="A567" s="3"/>
    </row>
    <row r="568" spans="1:1" ht="13.2">
      <c r="A568" s="3"/>
    </row>
    <row r="569" spans="1:1" ht="13.2">
      <c r="A569" s="3"/>
    </row>
    <row r="570" spans="1:1" ht="13.2">
      <c r="A570" s="3"/>
    </row>
    <row r="571" spans="1:1" ht="13.2">
      <c r="A571" s="3"/>
    </row>
    <row r="572" spans="1:1" ht="13.2">
      <c r="A572" s="3"/>
    </row>
    <row r="573" spans="1:1" ht="13.2">
      <c r="A573" s="3"/>
    </row>
    <row r="574" spans="1:1" ht="13.2">
      <c r="A574" s="3"/>
    </row>
    <row r="575" spans="1:1" ht="13.2">
      <c r="A575" s="3"/>
    </row>
    <row r="576" spans="1:1" ht="13.2">
      <c r="A576" s="3"/>
    </row>
    <row r="577" spans="1:1" ht="13.2">
      <c r="A577" s="3"/>
    </row>
    <row r="578" spans="1:1" ht="13.2">
      <c r="A578" s="3"/>
    </row>
    <row r="579" spans="1:1" ht="13.2">
      <c r="A579" s="3"/>
    </row>
    <row r="580" spans="1:1" ht="13.2">
      <c r="A580" s="3"/>
    </row>
    <row r="581" spans="1:1" ht="13.2">
      <c r="A581" s="3"/>
    </row>
    <row r="582" spans="1:1" ht="13.2">
      <c r="A582" s="3"/>
    </row>
    <row r="583" spans="1:1" ht="13.2">
      <c r="A583" s="3"/>
    </row>
    <row r="584" spans="1:1" ht="13.2">
      <c r="A584" s="3"/>
    </row>
    <row r="585" spans="1:1" ht="13.2">
      <c r="A585" s="3"/>
    </row>
    <row r="586" spans="1:1" ht="13.2">
      <c r="A586" s="3"/>
    </row>
    <row r="587" spans="1:1" ht="13.2">
      <c r="A587" s="3"/>
    </row>
    <row r="588" spans="1:1" ht="13.2">
      <c r="A588" s="3"/>
    </row>
    <row r="589" spans="1:1" ht="13.2">
      <c r="A589" s="3"/>
    </row>
    <row r="590" spans="1:1" ht="13.2">
      <c r="A590" s="3"/>
    </row>
    <row r="591" spans="1:1" ht="13.2">
      <c r="A591" s="3"/>
    </row>
    <row r="592" spans="1:1" ht="13.2">
      <c r="A592" s="3"/>
    </row>
    <row r="593" spans="1:1" ht="13.2">
      <c r="A593" s="3"/>
    </row>
    <row r="594" spans="1:1" ht="13.2">
      <c r="A594" s="3"/>
    </row>
    <row r="595" spans="1:1" ht="13.2">
      <c r="A595" s="3"/>
    </row>
    <row r="596" spans="1:1" ht="13.2">
      <c r="A596" s="3"/>
    </row>
    <row r="597" spans="1:1" ht="13.2">
      <c r="A597" s="3"/>
    </row>
    <row r="598" spans="1:1" ht="13.2">
      <c r="A598" s="3"/>
    </row>
    <row r="599" spans="1:1" ht="13.2">
      <c r="A599" s="3"/>
    </row>
    <row r="600" spans="1:1" ht="13.2">
      <c r="A600" s="3"/>
    </row>
    <row r="601" spans="1:1" ht="13.2">
      <c r="A601" s="3"/>
    </row>
    <row r="602" spans="1:1" ht="13.2">
      <c r="A602" s="3"/>
    </row>
    <row r="603" spans="1:1" ht="13.2">
      <c r="A603" s="3"/>
    </row>
    <row r="604" spans="1:1" ht="13.2">
      <c r="A604" s="3"/>
    </row>
    <row r="605" spans="1:1" ht="13.2">
      <c r="A605" s="3"/>
    </row>
    <row r="606" spans="1:1" ht="13.2">
      <c r="A606" s="3"/>
    </row>
    <row r="607" spans="1:1" ht="13.2">
      <c r="A607" s="3"/>
    </row>
    <row r="608" spans="1:1" ht="13.2">
      <c r="A608" s="3"/>
    </row>
    <row r="609" spans="1:1" ht="13.2">
      <c r="A609" s="3"/>
    </row>
    <row r="610" spans="1:1" ht="13.2">
      <c r="A610" s="3"/>
    </row>
    <row r="611" spans="1:1" ht="13.2">
      <c r="A611" s="3"/>
    </row>
    <row r="612" spans="1:1" ht="13.2">
      <c r="A612" s="3"/>
    </row>
    <row r="613" spans="1:1" ht="13.2">
      <c r="A613" s="3"/>
    </row>
    <row r="614" spans="1:1" ht="13.2">
      <c r="A614" s="3"/>
    </row>
    <row r="615" spans="1:1" ht="13.2">
      <c r="A615" s="3"/>
    </row>
    <row r="616" spans="1:1" ht="13.2">
      <c r="A616" s="3"/>
    </row>
    <row r="617" spans="1:1" ht="13.2">
      <c r="A617" s="3"/>
    </row>
    <row r="618" spans="1:1" ht="13.2">
      <c r="A618" s="3"/>
    </row>
    <row r="619" spans="1:1" ht="13.2">
      <c r="A619" s="3"/>
    </row>
    <row r="620" spans="1:1" ht="13.2">
      <c r="A620" s="3"/>
    </row>
    <row r="621" spans="1:1" ht="13.2">
      <c r="A621" s="3"/>
    </row>
    <row r="622" spans="1:1" ht="13.2">
      <c r="A622" s="3"/>
    </row>
    <row r="623" spans="1:1" ht="13.2">
      <c r="A623" s="3"/>
    </row>
    <row r="624" spans="1:1" ht="13.2">
      <c r="A624" s="3"/>
    </row>
    <row r="625" spans="1:1" ht="13.2">
      <c r="A625" s="3"/>
    </row>
    <row r="626" spans="1:1" ht="13.2">
      <c r="A626" s="3"/>
    </row>
    <row r="627" spans="1:1" ht="13.2">
      <c r="A627" s="3"/>
    </row>
    <row r="628" spans="1:1" ht="13.2">
      <c r="A628" s="3"/>
    </row>
    <row r="629" spans="1:1" ht="13.2">
      <c r="A629" s="3"/>
    </row>
    <row r="630" spans="1:1" ht="13.2">
      <c r="A630" s="3"/>
    </row>
    <row r="631" spans="1:1" ht="13.2">
      <c r="A631" s="3"/>
    </row>
    <row r="632" spans="1:1" ht="13.2">
      <c r="A632" s="3"/>
    </row>
    <row r="633" spans="1:1" ht="13.2">
      <c r="A633" s="3"/>
    </row>
    <row r="634" spans="1:1" ht="13.2">
      <c r="A634" s="3"/>
    </row>
    <row r="635" spans="1:1" ht="13.2">
      <c r="A635" s="3"/>
    </row>
    <row r="636" spans="1:1" ht="13.2">
      <c r="A636" s="3"/>
    </row>
    <row r="637" spans="1:1" ht="13.2">
      <c r="A637" s="3"/>
    </row>
    <row r="638" spans="1:1" ht="13.2">
      <c r="A638" s="3"/>
    </row>
    <row r="639" spans="1:1" ht="13.2">
      <c r="A639" s="3"/>
    </row>
    <row r="640" spans="1:1" ht="13.2">
      <c r="A640" s="3"/>
    </row>
    <row r="641" spans="1:1" ht="13.2">
      <c r="A641" s="3"/>
    </row>
    <row r="642" spans="1:1" ht="13.2">
      <c r="A642" s="3"/>
    </row>
    <row r="643" spans="1:1" ht="13.2">
      <c r="A643" s="3"/>
    </row>
    <row r="644" spans="1:1" ht="13.2">
      <c r="A644" s="3"/>
    </row>
    <row r="645" spans="1:1" ht="13.2">
      <c r="A645" s="3"/>
    </row>
    <row r="646" spans="1:1" ht="13.2">
      <c r="A646" s="3"/>
    </row>
    <row r="647" spans="1:1" ht="13.2">
      <c r="A647" s="3"/>
    </row>
    <row r="648" spans="1:1" ht="13.2">
      <c r="A648" s="3"/>
    </row>
    <row r="649" spans="1:1" ht="13.2">
      <c r="A649" s="3"/>
    </row>
    <row r="650" spans="1:1" ht="13.2">
      <c r="A650" s="3"/>
    </row>
    <row r="651" spans="1:1" ht="13.2">
      <c r="A651" s="3"/>
    </row>
    <row r="652" spans="1:1" ht="13.2">
      <c r="A652" s="3"/>
    </row>
    <row r="653" spans="1:1" ht="13.2">
      <c r="A653" s="3"/>
    </row>
    <row r="654" spans="1:1" ht="13.2">
      <c r="A654" s="3"/>
    </row>
    <row r="655" spans="1:1" ht="13.2">
      <c r="A655" s="3"/>
    </row>
    <row r="656" spans="1:1" ht="13.2">
      <c r="A656" s="3"/>
    </row>
    <row r="657" spans="1:1" ht="13.2">
      <c r="A657" s="3"/>
    </row>
    <row r="658" spans="1:1" ht="13.2">
      <c r="A658" s="3"/>
    </row>
    <row r="659" spans="1:1" ht="13.2">
      <c r="A659" s="3"/>
    </row>
    <row r="660" spans="1:1" ht="13.2">
      <c r="A660" s="3"/>
    </row>
    <row r="661" spans="1:1" ht="13.2">
      <c r="A661" s="3"/>
    </row>
    <row r="662" spans="1:1" ht="13.2">
      <c r="A662" s="3"/>
    </row>
    <row r="663" spans="1:1" ht="13.2">
      <c r="A663" s="3"/>
    </row>
    <row r="664" spans="1:1" ht="13.2">
      <c r="A664" s="3"/>
    </row>
    <row r="665" spans="1:1" ht="13.2">
      <c r="A665" s="3"/>
    </row>
    <row r="666" spans="1:1" ht="13.2">
      <c r="A666" s="3"/>
    </row>
    <row r="667" spans="1:1" ht="13.2">
      <c r="A667" s="3"/>
    </row>
    <row r="668" spans="1:1" ht="13.2">
      <c r="A668" s="3"/>
    </row>
    <row r="669" spans="1:1" ht="13.2">
      <c r="A669" s="3"/>
    </row>
    <row r="670" spans="1:1" ht="13.2">
      <c r="A670" s="3"/>
    </row>
    <row r="671" spans="1:1" ht="13.2">
      <c r="A671" s="3"/>
    </row>
    <row r="672" spans="1:1" ht="13.2">
      <c r="A672" s="3"/>
    </row>
    <row r="673" spans="1:1" ht="13.2">
      <c r="A673" s="3"/>
    </row>
    <row r="674" spans="1:1" ht="13.2">
      <c r="A674" s="3"/>
    </row>
    <row r="675" spans="1:1" ht="13.2">
      <c r="A675" s="3"/>
    </row>
    <row r="676" spans="1:1" ht="13.2">
      <c r="A676" s="3"/>
    </row>
    <row r="677" spans="1:1" ht="13.2">
      <c r="A677" s="3"/>
    </row>
    <row r="678" spans="1:1" ht="13.2">
      <c r="A678" s="3"/>
    </row>
    <row r="679" spans="1:1" ht="13.2">
      <c r="A679" s="3"/>
    </row>
    <row r="680" spans="1:1" ht="13.2">
      <c r="A680" s="3"/>
    </row>
    <row r="681" spans="1:1" ht="13.2">
      <c r="A681" s="3"/>
    </row>
    <row r="682" spans="1:1" ht="13.2">
      <c r="A682" s="3"/>
    </row>
    <row r="683" spans="1:1" ht="13.2">
      <c r="A683" s="3"/>
    </row>
    <row r="684" spans="1:1" ht="13.2">
      <c r="A684" s="3"/>
    </row>
    <row r="685" spans="1:1" ht="13.2">
      <c r="A685" s="3"/>
    </row>
    <row r="686" spans="1:1" ht="13.2">
      <c r="A686" s="3"/>
    </row>
    <row r="687" spans="1:1" ht="13.2">
      <c r="A687" s="3"/>
    </row>
    <row r="688" spans="1:1" ht="13.2">
      <c r="A688" s="3"/>
    </row>
    <row r="689" spans="1:1" ht="13.2">
      <c r="A689" s="3"/>
    </row>
    <row r="690" spans="1:1" ht="13.2">
      <c r="A690" s="3"/>
    </row>
    <row r="691" spans="1:1" ht="13.2">
      <c r="A691" s="3"/>
    </row>
    <row r="692" spans="1:1" ht="13.2">
      <c r="A692" s="3"/>
    </row>
    <row r="693" spans="1:1" ht="13.2">
      <c r="A693" s="3"/>
    </row>
    <row r="694" spans="1:1" ht="13.2">
      <c r="A694" s="3"/>
    </row>
    <row r="695" spans="1:1" ht="13.2">
      <c r="A695" s="3"/>
    </row>
    <row r="696" spans="1:1" ht="13.2">
      <c r="A696" s="3"/>
    </row>
    <row r="697" spans="1:1" ht="13.2">
      <c r="A697" s="3"/>
    </row>
    <row r="698" spans="1:1" ht="13.2">
      <c r="A698" s="3"/>
    </row>
    <row r="699" spans="1:1" ht="13.2">
      <c r="A699" s="3"/>
    </row>
    <row r="700" spans="1:1" ht="13.2">
      <c r="A700" s="3"/>
    </row>
    <row r="701" spans="1:1" ht="13.2">
      <c r="A701" s="3"/>
    </row>
    <row r="702" spans="1:1" ht="13.2">
      <c r="A702" s="3"/>
    </row>
    <row r="703" spans="1:1" ht="13.2">
      <c r="A703" s="3"/>
    </row>
    <row r="704" spans="1:1" ht="13.2">
      <c r="A704" s="3"/>
    </row>
    <row r="705" spans="1:1" ht="13.2">
      <c r="A705" s="3"/>
    </row>
    <row r="706" spans="1:1" ht="13.2">
      <c r="A706" s="3"/>
    </row>
    <row r="707" spans="1:1" ht="13.2">
      <c r="A707" s="3"/>
    </row>
    <row r="708" spans="1:1" ht="13.2">
      <c r="A708" s="3"/>
    </row>
    <row r="709" spans="1:1" ht="13.2">
      <c r="A709" s="3"/>
    </row>
    <row r="710" spans="1:1" ht="13.2">
      <c r="A710" s="3"/>
    </row>
    <row r="711" spans="1:1" ht="13.2">
      <c r="A711" s="3"/>
    </row>
    <row r="712" spans="1:1" ht="13.2">
      <c r="A712" s="3"/>
    </row>
    <row r="713" spans="1:1" ht="13.2">
      <c r="A713" s="3"/>
    </row>
    <row r="714" spans="1:1" ht="13.2">
      <c r="A714" s="3"/>
    </row>
    <row r="715" spans="1:1" ht="13.2">
      <c r="A715" s="3"/>
    </row>
    <row r="716" spans="1:1" ht="13.2">
      <c r="A716" s="3"/>
    </row>
    <row r="717" spans="1:1" ht="13.2">
      <c r="A717" s="3"/>
    </row>
    <row r="718" spans="1:1" ht="13.2">
      <c r="A718" s="3"/>
    </row>
    <row r="719" spans="1:1" ht="13.2">
      <c r="A719" s="3"/>
    </row>
    <row r="720" spans="1:1" ht="13.2">
      <c r="A720" s="3"/>
    </row>
    <row r="721" spans="1:1" ht="13.2">
      <c r="A721" s="3"/>
    </row>
    <row r="722" spans="1:1" ht="13.2">
      <c r="A722" s="3"/>
    </row>
    <row r="723" spans="1:1" ht="13.2">
      <c r="A723" s="3"/>
    </row>
    <row r="724" spans="1:1" ht="13.2">
      <c r="A724" s="3"/>
    </row>
    <row r="725" spans="1:1" ht="13.2">
      <c r="A725" s="3"/>
    </row>
    <row r="726" spans="1:1" ht="13.2">
      <c r="A726" s="3"/>
    </row>
    <row r="727" spans="1:1" ht="13.2">
      <c r="A727" s="3"/>
    </row>
    <row r="728" spans="1:1" ht="13.2">
      <c r="A728" s="3"/>
    </row>
    <row r="729" spans="1:1" ht="13.2">
      <c r="A729" s="3"/>
    </row>
    <row r="730" spans="1:1" ht="13.2">
      <c r="A730" s="3"/>
    </row>
    <row r="731" spans="1:1" ht="13.2">
      <c r="A731" s="3"/>
    </row>
    <row r="732" spans="1:1" ht="13.2">
      <c r="A732" s="3"/>
    </row>
    <row r="733" spans="1:1" ht="13.2">
      <c r="A733" s="3"/>
    </row>
    <row r="734" spans="1:1" ht="13.2">
      <c r="A734" s="3"/>
    </row>
    <row r="735" spans="1:1" ht="13.2">
      <c r="A735" s="3"/>
    </row>
    <row r="736" spans="1:1" ht="13.2">
      <c r="A736" s="3"/>
    </row>
    <row r="737" spans="1:1" ht="13.2">
      <c r="A737" s="3"/>
    </row>
    <row r="738" spans="1:1" ht="13.2">
      <c r="A738" s="3"/>
    </row>
    <row r="739" spans="1:1" ht="13.2">
      <c r="A739" s="3"/>
    </row>
    <row r="740" spans="1:1" ht="13.2">
      <c r="A740" s="3"/>
    </row>
    <row r="741" spans="1:1" ht="13.2">
      <c r="A741" s="3"/>
    </row>
    <row r="742" spans="1:1" ht="13.2">
      <c r="A742" s="3"/>
    </row>
    <row r="743" spans="1:1" ht="13.2">
      <c r="A743" s="3"/>
    </row>
    <row r="744" spans="1:1" ht="13.2">
      <c r="A744" s="3"/>
    </row>
    <row r="745" spans="1:1" ht="13.2">
      <c r="A745" s="3"/>
    </row>
    <row r="746" spans="1:1" ht="13.2">
      <c r="A746" s="3"/>
    </row>
    <row r="747" spans="1:1" ht="13.2">
      <c r="A747" s="3"/>
    </row>
    <row r="748" spans="1:1" ht="13.2">
      <c r="A748" s="3"/>
    </row>
    <row r="749" spans="1:1" ht="13.2">
      <c r="A749" s="3"/>
    </row>
    <row r="750" spans="1:1" ht="13.2">
      <c r="A750" s="3"/>
    </row>
    <row r="751" spans="1:1" ht="13.2">
      <c r="A751" s="3"/>
    </row>
    <row r="752" spans="1:1" ht="13.2">
      <c r="A752" s="3"/>
    </row>
    <row r="753" spans="1:1" ht="13.2">
      <c r="A753" s="3"/>
    </row>
    <row r="754" spans="1:1" ht="13.2">
      <c r="A754" s="3"/>
    </row>
    <row r="755" spans="1:1" ht="13.2">
      <c r="A755" s="3"/>
    </row>
    <row r="756" spans="1:1" ht="13.2">
      <c r="A756" s="3"/>
    </row>
    <row r="757" spans="1:1" ht="13.2">
      <c r="A757" s="3"/>
    </row>
    <row r="758" spans="1:1" ht="13.2">
      <c r="A758" s="3"/>
    </row>
    <row r="759" spans="1:1" ht="13.2">
      <c r="A759" s="3"/>
    </row>
    <row r="760" spans="1:1" ht="13.2">
      <c r="A760" s="3"/>
    </row>
    <row r="761" spans="1:1" ht="13.2">
      <c r="A761" s="3"/>
    </row>
    <row r="762" spans="1:1" ht="13.2">
      <c r="A762" s="3"/>
    </row>
    <row r="763" spans="1:1" ht="13.2">
      <c r="A763" s="3"/>
    </row>
    <row r="764" spans="1:1" ht="13.2">
      <c r="A764" s="3"/>
    </row>
    <row r="765" spans="1:1" ht="13.2">
      <c r="A765" s="3"/>
    </row>
    <row r="766" spans="1:1" ht="13.2">
      <c r="A766" s="3"/>
    </row>
    <row r="767" spans="1:1" ht="13.2">
      <c r="A767" s="3"/>
    </row>
    <row r="768" spans="1:1" ht="13.2">
      <c r="A768" s="3"/>
    </row>
    <row r="769" spans="1:1" ht="13.2">
      <c r="A769" s="3"/>
    </row>
    <row r="770" spans="1:1" ht="13.2">
      <c r="A770" s="3"/>
    </row>
    <row r="771" spans="1:1" ht="13.2">
      <c r="A771" s="3"/>
    </row>
    <row r="772" spans="1:1" ht="13.2">
      <c r="A772" s="3"/>
    </row>
    <row r="773" spans="1:1" ht="13.2">
      <c r="A773" s="3"/>
    </row>
    <row r="774" spans="1:1" ht="13.2">
      <c r="A774" s="3"/>
    </row>
    <row r="775" spans="1:1" ht="13.2">
      <c r="A775" s="3"/>
    </row>
    <row r="776" spans="1:1" ht="13.2">
      <c r="A776" s="3"/>
    </row>
    <row r="777" spans="1:1" ht="13.2">
      <c r="A777" s="3"/>
    </row>
    <row r="778" spans="1:1" ht="13.2">
      <c r="A778" s="3"/>
    </row>
    <row r="779" spans="1:1" ht="13.2">
      <c r="A779" s="3"/>
    </row>
    <row r="780" spans="1:1" ht="13.2">
      <c r="A780" s="3"/>
    </row>
    <row r="781" spans="1:1" ht="13.2">
      <c r="A781" s="3"/>
    </row>
    <row r="782" spans="1:1" ht="13.2">
      <c r="A782" s="3"/>
    </row>
    <row r="783" spans="1:1" ht="13.2">
      <c r="A783" s="3"/>
    </row>
    <row r="784" spans="1:1" ht="13.2">
      <c r="A784" s="3"/>
    </row>
    <row r="785" spans="1:1" ht="13.2">
      <c r="A785" s="3"/>
    </row>
    <row r="786" spans="1:1" ht="13.2">
      <c r="A786" s="3"/>
    </row>
    <row r="787" spans="1:1" ht="13.2">
      <c r="A787" s="3"/>
    </row>
    <row r="788" spans="1:1" ht="13.2">
      <c r="A788" s="3"/>
    </row>
    <row r="789" spans="1:1" ht="13.2">
      <c r="A789" s="3"/>
    </row>
    <row r="790" spans="1:1" ht="13.2">
      <c r="A790" s="3"/>
    </row>
    <row r="791" spans="1:1" ht="13.2">
      <c r="A791" s="3"/>
    </row>
    <row r="792" spans="1:1" ht="13.2">
      <c r="A792" s="3"/>
    </row>
    <row r="793" spans="1:1" ht="13.2">
      <c r="A793" s="3"/>
    </row>
    <row r="794" spans="1:1" ht="13.2">
      <c r="A794" s="3"/>
    </row>
    <row r="795" spans="1:1" ht="13.2">
      <c r="A795" s="3"/>
    </row>
    <row r="796" spans="1:1" ht="13.2">
      <c r="A796" s="3"/>
    </row>
    <row r="797" spans="1:1" ht="13.2">
      <c r="A797" s="3"/>
    </row>
    <row r="798" spans="1:1" ht="13.2">
      <c r="A798" s="3"/>
    </row>
    <row r="799" spans="1:1" ht="13.2">
      <c r="A799" s="3"/>
    </row>
    <row r="800" spans="1:1" ht="13.2">
      <c r="A800" s="3"/>
    </row>
    <row r="801" spans="1:1" ht="13.2">
      <c r="A801" s="3"/>
    </row>
    <row r="802" spans="1:1" ht="13.2">
      <c r="A802" s="3"/>
    </row>
    <row r="803" spans="1:1" ht="13.2">
      <c r="A803" s="3"/>
    </row>
    <row r="804" spans="1:1" ht="13.2">
      <c r="A804" s="3"/>
    </row>
    <row r="805" spans="1:1" ht="13.2">
      <c r="A805" s="3"/>
    </row>
    <row r="806" spans="1:1" ht="13.2">
      <c r="A806" s="3"/>
    </row>
    <row r="807" spans="1:1" ht="13.2">
      <c r="A807" s="3"/>
    </row>
    <row r="808" spans="1:1" ht="13.2">
      <c r="A808" s="3"/>
    </row>
    <row r="809" spans="1:1" ht="13.2">
      <c r="A809" s="3"/>
    </row>
    <row r="810" spans="1:1" ht="13.2">
      <c r="A810" s="3"/>
    </row>
    <row r="811" spans="1:1" ht="13.2">
      <c r="A811" s="3"/>
    </row>
    <row r="812" spans="1:1" ht="13.2">
      <c r="A812" s="3"/>
    </row>
    <row r="813" spans="1:1" ht="13.2">
      <c r="A813" s="3"/>
    </row>
    <row r="814" spans="1:1" ht="13.2">
      <c r="A814" s="3"/>
    </row>
    <row r="815" spans="1:1" ht="13.2">
      <c r="A815" s="3"/>
    </row>
    <row r="816" spans="1:1" ht="13.2">
      <c r="A816" s="3"/>
    </row>
    <row r="817" spans="1:1" ht="13.2">
      <c r="A817" s="3"/>
    </row>
    <row r="818" spans="1:1" ht="13.2">
      <c r="A818" s="3"/>
    </row>
    <row r="819" spans="1:1" ht="13.2">
      <c r="A819" s="3"/>
    </row>
    <row r="820" spans="1:1" ht="13.2">
      <c r="A820" s="3"/>
    </row>
    <row r="821" spans="1:1" ht="13.2">
      <c r="A821" s="3"/>
    </row>
    <row r="822" spans="1:1" ht="13.2">
      <c r="A822" s="3"/>
    </row>
    <row r="823" spans="1:1" ht="13.2">
      <c r="A823" s="3"/>
    </row>
    <row r="824" spans="1:1" ht="13.2">
      <c r="A824" s="3"/>
    </row>
    <row r="825" spans="1:1" ht="13.2">
      <c r="A825" s="3"/>
    </row>
    <row r="826" spans="1:1" ht="13.2">
      <c r="A826" s="3"/>
    </row>
    <row r="827" spans="1:1" ht="13.2">
      <c r="A827" s="3"/>
    </row>
    <row r="828" spans="1:1" ht="13.2">
      <c r="A828" s="3"/>
    </row>
    <row r="829" spans="1:1" ht="13.2">
      <c r="A829" s="3"/>
    </row>
    <row r="830" spans="1:1" ht="13.2">
      <c r="A830" s="3"/>
    </row>
    <row r="831" spans="1:1" ht="13.2">
      <c r="A831" s="3"/>
    </row>
    <row r="832" spans="1:1" ht="13.2">
      <c r="A832" s="3"/>
    </row>
    <row r="833" spans="1:1" ht="13.2">
      <c r="A833" s="3"/>
    </row>
    <row r="834" spans="1:1" ht="13.2">
      <c r="A834" s="3"/>
    </row>
    <row r="835" spans="1:1" ht="13.2">
      <c r="A835" s="3"/>
    </row>
    <row r="836" spans="1:1" ht="13.2">
      <c r="A836" s="3"/>
    </row>
    <row r="837" spans="1:1" ht="13.2">
      <c r="A837" s="3"/>
    </row>
    <row r="838" spans="1:1" ht="13.2">
      <c r="A838" s="3"/>
    </row>
    <row r="839" spans="1:1" ht="13.2">
      <c r="A839" s="3"/>
    </row>
    <row r="840" spans="1:1" ht="13.2">
      <c r="A840" s="3"/>
    </row>
    <row r="841" spans="1:1" ht="13.2">
      <c r="A841" s="3"/>
    </row>
    <row r="842" spans="1:1" ht="13.2">
      <c r="A842" s="3"/>
    </row>
    <row r="843" spans="1:1" ht="13.2">
      <c r="A843" s="3"/>
    </row>
    <row r="844" spans="1:1" ht="13.2">
      <c r="A844" s="3"/>
    </row>
    <row r="845" spans="1:1" ht="13.2">
      <c r="A845" s="3"/>
    </row>
    <row r="846" spans="1:1" ht="13.2">
      <c r="A846" s="3"/>
    </row>
    <row r="847" spans="1:1" ht="13.2">
      <c r="A847" s="3"/>
    </row>
    <row r="848" spans="1:1" ht="13.2">
      <c r="A848" s="3"/>
    </row>
    <row r="849" spans="1:1" ht="13.2">
      <c r="A849" s="3"/>
    </row>
    <row r="850" spans="1:1" ht="13.2">
      <c r="A850" s="3"/>
    </row>
    <row r="851" spans="1:1" ht="13.2">
      <c r="A851" s="3"/>
    </row>
    <row r="852" spans="1:1" ht="13.2">
      <c r="A852" s="3"/>
    </row>
    <row r="853" spans="1:1" ht="13.2">
      <c r="A853" s="3"/>
    </row>
    <row r="854" spans="1:1" ht="13.2">
      <c r="A854" s="3"/>
    </row>
    <row r="855" spans="1:1" ht="13.2">
      <c r="A855" s="3"/>
    </row>
    <row r="856" spans="1:1" ht="13.2">
      <c r="A856" s="3"/>
    </row>
    <row r="857" spans="1:1" ht="13.2">
      <c r="A857" s="3"/>
    </row>
    <row r="858" spans="1:1" ht="13.2">
      <c r="A858" s="3"/>
    </row>
    <row r="859" spans="1:1" ht="13.2">
      <c r="A859" s="3"/>
    </row>
    <row r="860" spans="1:1" ht="13.2">
      <c r="A860" s="3"/>
    </row>
    <row r="861" spans="1:1" ht="13.2">
      <c r="A861" s="3"/>
    </row>
    <row r="862" spans="1:1" ht="13.2">
      <c r="A862" s="3"/>
    </row>
    <row r="863" spans="1:1" ht="13.2">
      <c r="A863" s="3"/>
    </row>
    <row r="864" spans="1:1" ht="13.2">
      <c r="A864" s="3"/>
    </row>
    <row r="865" spans="1:1" ht="13.2">
      <c r="A865" s="3"/>
    </row>
    <row r="866" spans="1:1" ht="13.2">
      <c r="A866" s="3"/>
    </row>
    <row r="867" spans="1:1" ht="13.2">
      <c r="A867" s="3"/>
    </row>
    <row r="868" spans="1:1" ht="13.2">
      <c r="A868" s="3"/>
    </row>
    <row r="869" spans="1:1" ht="13.2">
      <c r="A869" s="3"/>
    </row>
    <row r="870" spans="1:1" ht="13.2">
      <c r="A870" s="3"/>
    </row>
    <row r="871" spans="1:1" ht="13.2">
      <c r="A871" s="3"/>
    </row>
    <row r="872" spans="1:1" ht="13.2">
      <c r="A872" s="3"/>
    </row>
    <row r="873" spans="1:1" ht="13.2">
      <c r="A873" s="3"/>
    </row>
    <row r="874" spans="1:1" ht="13.2">
      <c r="A874" s="3"/>
    </row>
    <row r="875" spans="1:1" ht="13.2">
      <c r="A875" s="3"/>
    </row>
    <row r="876" spans="1:1" ht="13.2">
      <c r="A876" s="3"/>
    </row>
    <row r="877" spans="1:1" ht="13.2">
      <c r="A877" s="3"/>
    </row>
    <row r="878" spans="1:1" ht="13.2">
      <c r="A878" s="3"/>
    </row>
    <row r="879" spans="1:1" ht="13.2">
      <c r="A879" s="3"/>
    </row>
    <row r="880" spans="1:1" ht="13.2">
      <c r="A880" s="3"/>
    </row>
    <row r="881" spans="1:1" ht="13.2">
      <c r="A881" s="3"/>
    </row>
    <row r="882" spans="1:1" ht="13.2">
      <c r="A882" s="3"/>
    </row>
    <row r="883" spans="1:1" ht="13.2">
      <c r="A883" s="3"/>
    </row>
    <row r="884" spans="1:1" ht="13.2">
      <c r="A884" s="3"/>
    </row>
    <row r="885" spans="1:1" ht="13.2">
      <c r="A885" s="3"/>
    </row>
    <row r="886" spans="1:1" ht="13.2">
      <c r="A886" s="3"/>
    </row>
    <row r="887" spans="1:1" ht="13.2">
      <c r="A887" s="3"/>
    </row>
    <row r="888" spans="1:1" ht="13.2">
      <c r="A888" s="3"/>
    </row>
    <row r="889" spans="1:1" ht="13.2">
      <c r="A889" s="3"/>
    </row>
    <row r="890" spans="1:1" ht="13.2">
      <c r="A890" s="3"/>
    </row>
    <row r="891" spans="1:1" ht="13.2">
      <c r="A891" s="3"/>
    </row>
    <row r="892" spans="1:1" ht="13.2">
      <c r="A892" s="3"/>
    </row>
    <row r="893" spans="1:1" ht="13.2">
      <c r="A893" s="3"/>
    </row>
    <row r="894" spans="1:1" ht="13.2">
      <c r="A894" s="3"/>
    </row>
    <row r="895" spans="1:1" ht="13.2">
      <c r="A895" s="3"/>
    </row>
    <row r="896" spans="1:1" ht="13.2">
      <c r="A896" s="3"/>
    </row>
    <row r="897" spans="1:1" ht="13.2">
      <c r="A897" s="3"/>
    </row>
    <row r="898" spans="1:1" ht="13.2">
      <c r="A898" s="3"/>
    </row>
    <row r="899" spans="1:1" ht="13.2">
      <c r="A899" s="3"/>
    </row>
    <row r="900" spans="1:1" ht="13.2">
      <c r="A900" s="3"/>
    </row>
    <row r="901" spans="1:1" ht="13.2">
      <c r="A901" s="3"/>
    </row>
    <row r="902" spans="1:1" ht="13.2">
      <c r="A902" s="3"/>
    </row>
    <row r="903" spans="1:1" ht="13.2">
      <c r="A903" s="3"/>
    </row>
    <row r="904" spans="1:1" ht="13.2">
      <c r="A904" s="3"/>
    </row>
    <row r="905" spans="1:1" ht="13.2">
      <c r="A905" s="3"/>
    </row>
    <row r="906" spans="1:1" ht="13.2">
      <c r="A906" s="3"/>
    </row>
    <row r="907" spans="1:1" ht="13.2">
      <c r="A907" s="3"/>
    </row>
    <row r="908" spans="1:1" ht="13.2">
      <c r="A908" s="3"/>
    </row>
    <row r="909" spans="1:1" ht="13.2">
      <c r="A909" s="3"/>
    </row>
    <row r="910" spans="1:1" ht="13.2">
      <c r="A910" s="3"/>
    </row>
    <row r="911" spans="1:1" ht="13.2">
      <c r="A911" s="3"/>
    </row>
    <row r="912" spans="1:1" ht="13.2">
      <c r="A912" s="3"/>
    </row>
    <row r="913" spans="1:1" ht="13.2">
      <c r="A913" s="3"/>
    </row>
    <row r="914" spans="1:1" ht="13.2">
      <c r="A914" s="3"/>
    </row>
    <row r="915" spans="1:1" ht="13.2">
      <c r="A915" s="3"/>
    </row>
    <row r="916" spans="1:1" ht="13.2">
      <c r="A916" s="3"/>
    </row>
    <row r="917" spans="1:1" ht="13.2">
      <c r="A917" s="3"/>
    </row>
    <row r="918" spans="1:1" ht="13.2">
      <c r="A918" s="3"/>
    </row>
    <row r="919" spans="1:1" ht="13.2">
      <c r="A919" s="3"/>
    </row>
    <row r="920" spans="1:1" ht="13.2">
      <c r="A920" s="3"/>
    </row>
    <row r="921" spans="1:1" ht="13.2">
      <c r="A921" s="3"/>
    </row>
    <row r="922" spans="1:1" ht="13.2">
      <c r="A922" s="3"/>
    </row>
    <row r="923" spans="1:1" ht="13.2">
      <c r="A923" s="3"/>
    </row>
    <row r="924" spans="1:1" ht="13.2">
      <c r="A924" s="3"/>
    </row>
    <row r="925" spans="1:1" ht="13.2">
      <c r="A925" s="3"/>
    </row>
    <row r="926" spans="1:1" ht="13.2">
      <c r="A926" s="3"/>
    </row>
    <row r="927" spans="1:1" ht="13.2">
      <c r="A927" s="3"/>
    </row>
    <row r="928" spans="1:1" ht="13.2">
      <c r="A928" s="3"/>
    </row>
    <row r="929" spans="1:1" ht="13.2">
      <c r="A929" s="3"/>
    </row>
    <row r="930" spans="1:1" ht="13.2">
      <c r="A930" s="3"/>
    </row>
    <row r="931" spans="1:1" ht="13.2">
      <c r="A931" s="3"/>
    </row>
    <row r="932" spans="1:1" ht="13.2">
      <c r="A932" s="3"/>
    </row>
    <row r="933" spans="1:1" ht="13.2">
      <c r="A933" s="3"/>
    </row>
    <row r="934" spans="1:1" ht="13.2">
      <c r="A934" s="3"/>
    </row>
    <row r="935" spans="1:1" ht="13.2">
      <c r="A935" s="3"/>
    </row>
    <row r="936" spans="1:1" ht="13.2">
      <c r="A936" s="3"/>
    </row>
    <row r="937" spans="1:1" ht="13.2">
      <c r="A937" s="3"/>
    </row>
    <row r="938" spans="1:1" ht="13.2">
      <c r="A938" s="3"/>
    </row>
    <row r="939" spans="1:1" ht="13.2">
      <c r="A939" s="3"/>
    </row>
    <row r="940" spans="1:1" ht="13.2">
      <c r="A940" s="3"/>
    </row>
    <row r="941" spans="1:1" ht="13.2">
      <c r="A941" s="3"/>
    </row>
    <row r="942" spans="1:1" ht="13.2">
      <c r="A942" s="3"/>
    </row>
    <row r="943" spans="1:1" ht="13.2">
      <c r="A943" s="3"/>
    </row>
    <row r="944" spans="1:1" ht="13.2">
      <c r="A944" s="3"/>
    </row>
    <row r="945" spans="1:1" ht="13.2">
      <c r="A945" s="3"/>
    </row>
    <row r="946" spans="1:1" ht="13.2">
      <c r="A946" s="3"/>
    </row>
    <row r="947" spans="1:1" ht="13.2">
      <c r="A947" s="3"/>
    </row>
    <row r="948" spans="1:1" ht="13.2">
      <c r="A948" s="3"/>
    </row>
    <row r="949" spans="1:1" ht="13.2">
      <c r="A949" s="3"/>
    </row>
    <row r="950" spans="1:1" ht="13.2">
      <c r="A950" s="3"/>
    </row>
    <row r="951" spans="1:1" ht="13.2">
      <c r="A951" s="3"/>
    </row>
    <row r="952" spans="1:1" ht="13.2">
      <c r="A952" s="3"/>
    </row>
    <row r="953" spans="1:1" ht="13.2">
      <c r="A953" s="3"/>
    </row>
    <row r="954" spans="1:1" ht="13.2">
      <c r="A954" s="3"/>
    </row>
    <row r="955" spans="1:1" ht="13.2">
      <c r="A955" s="3"/>
    </row>
    <row r="956" spans="1:1" ht="13.2">
      <c r="A956" s="3"/>
    </row>
    <row r="957" spans="1:1" ht="13.2">
      <c r="A957" s="3"/>
    </row>
    <row r="958" spans="1:1" ht="13.2">
      <c r="A958" s="3"/>
    </row>
    <row r="959" spans="1:1" ht="13.2">
      <c r="A959" s="3"/>
    </row>
    <row r="960" spans="1:1" ht="13.2">
      <c r="A960" s="3"/>
    </row>
    <row r="961" spans="1:1" ht="13.2">
      <c r="A961" s="3"/>
    </row>
    <row r="962" spans="1:1" ht="13.2">
      <c r="A962" s="3"/>
    </row>
    <row r="963" spans="1:1" ht="13.2">
      <c r="A963" s="3"/>
    </row>
    <row r="964" spans="1:1" ht="13.2">
      <c r="A964" s="3"/>
    </row>
    <row r="965" spans="1:1" ht="13.2">
      <c r="A965" s="3"/>
    </row>
    <row r="966" spans="1:1" ht="13.2">
      <c r="A966" s="3"/>
    </row>
    <row r="967" spans="1:1" ht="13.2">
      <c r="A967" s="3"/>
    </row>
    <row r="968" spans="1:1" ht="13.2">
      <c r="A968" s="3"/>
    </row>
    <row r="969" spans="1:1" ht="13.2">
      <c r="A969" s="3"/>
    </row>
    <row r="970" spans="1:1" ht="13.2">
      <c r="A970" s="3"/>
    </row>
    <row r="971" spans="1:1" ht="13.2">
      <c r="A971" s="3"/>
    </row>
    <row r="972" spans="1:1" ht="13.2">
      <c r="A972" s="3"/>
    </row>
    <row r="973" spans="1:1" ht="13.2">
      <c r="A973" s="3"/>
    </row>
    <row r="974" spans="1:1" ht="13.2">
      <c r="A974" s="3"/>
    </row>
    <row r="975" spans="1:1" ht="13.2">
      <c r="A975" s="3"/>
    </row>
    <row r="976" spans="1:1" ht="13.2">
      <c r="A976" s="3"/>
    </row>
    <row r="977" spans="1:1" ht="13.2">
      <c r="A977" s="3"/>
    </row>
    <row r="978" spans="1:1" ht="13.2">
      <c r="A978" s="3"/>
    </row>
    <row r="979" spans="1:1" ht="13.2">
      <c r="A979" s="3"/>
    </row>
    <row r="980" spans="1:1" ht="13.2">
      <c r="A980" s="3"/>
    </row>
    <row r="981" spans="1:1" ht="13.2">
      <c r="A981" s="3"/>
    </row>
    <row r="982" spans="1:1" ht="13.2">
      <c r="A982" s="3"/>
    </row>
    <row r="983" spans="1:1" ht="13.2">
      <c r="A983" s="3"/>
    </row>
    <row r="984" spans="1:1" ht="13.2">
      <c r="A984" s="3"/>
    </row>
    <row r="985" spans="1:1" ht="13.2">
      <c r="A985" s="3"/>
    </row>
    <row r="986" spans="1:1" ht="13.2">
      <c r="A986" s="3"/>
    </row>
    <row r="987" spans="1:1" ht="13.2">
      <c r="A987" s="3"/>
    </row>
    <row r="988" spans="1:1" ht="13.2">
      <c r="A988" s="3"/>
    </row>
    <row r="989" spans="1:1" ht="13.2">
      <c r="A989" s="3"/>
    </row>
    <row r="990" spans="1:1" ht="13.2">
      <c r="A990" s="3"/>
    </row>
    <row r="991" spans="1:1" ht="13.2">
      <c r="A991" s="3"/>
    </row>
    <row r="992" spans="1:1" ht="13.2">
      <c r="A992" s="3"/>
    </row>
    <row r="993" spans="1:1" ht="13.2">
      <c r="A993" s="3"/>
    </row>
    <row r="994" spans="1:1" ht="13.2">
      <c r="A994" s="3"/>
    </row>
    <row r="995" spans="1:1" ht="13.2">
      <c r="A995" s="3"/>
    </row>
    <row r="996" spans="1:1" ht="13.2">
      <c r="A996" s="3"/>
    </row>
    <row r="997" spans="1:1" ht="13.2">
      <c r="A997" s="3"/>
    </row>
    <row r="998" spans="1:1" ht="13.2">
      <c r="A998" s="3"/>
    </row>
    <row r="999" spans="1:1" ht="13.2">
      <c r="A999" s="3"/>
    </row>
    <row r="1000" spans="1:1" ht="13.2">
      <c r="A1000" s="3"/>
    </row>
    <row r="1001" spans="1:1" ht="13.2">
      <c r="A1001" s="3"/>
    </row>
    <row r="1002" spans="1:1" ht="13.2">
      <c r="A1002" s="3"/>
    </row>
    <row r="1003" spans="1:1" ht="13.2">
      <c r="A1003" s="3"/>
    </row>
    <row r="1004" spans="1:1" ht="13.2">
      <c r="A1004" s="3"/>
    </row>
    <row r="1005" spans="1:1" ht="13.2">
      <c r="A1005" s="3"/>
    </row>
    <row r="1006" spans="1:1" ht="13.2">
      <c r="A1006" s="3"/>
    </row>
    <row r="1007" spans="1:1" ht="13.2">
      <c r="A1007" s="3"/>
    </row>
    <row r="1008" spans="1:1" ht="13.2">
      <c r="A1008" s="3"/>
    </row>
    <row r="1009" spans="1:1" ht="13.2">
      <c r="A1009" s="3"/>
    </row>
    <row r="1010" spans="1:1" ht="13.2">
      <c r="A1010" s="3"/>
    </row>
    <row r="1011" spans="1:1" ht="13.2">
      <c r="A1011" s="3"/>
    </row>
    <row r="1012" spans="1:1" ht="13.2">
      <c r="A1012" s="3"/>
    </row>
    <row r="1013" spans="1:1" ht="13.2">
      <c r="A1013" s="3"/>
    </row>
    <row r="1014" spans="1:1" ht="13.2">
      <c r="A1014" s="3"/>
    </row>
    <row r="1015" spans="1:1" ht="13.2">
      <c r="A1015" s="3"/>
    </row>
    <row r="1016" spans="1:1" ht="13.2">
      <c r="A1016" s="3"/>
    </row>
    <row r="1017" spans="1:1" ht="13.2">
      <c r="A1017" s="3"/>
    </row>
    <row r="1018" spans="1:1" ht="13.2">
      <c r="A1018" s="3"/>
    </row>
    <row r="1019" spans="1:1" ht="13.2">
      <c r="A1019" s="3"/>
    </row>
    <row r="1020" spans="1:1" ht="13.2">
      <c r="A1020" s="3"/>
    </row>
    <row r="1021" spans="1:1" ht="13.2">
      <c r="A1021" s="3"/>
    </row>
    <row r="1022" spans="1:1" ht="13.2">
      <c r="A1022" s="3"/>
    </row>
    <row r="1023" spans="1:1" ht="13.2">
      <c r="A1023" s="3"/>
    </row>
    <row r="1024" spans="1:1" ht="13.2">
      <c r="A1024" s="3"/>
    </row>
    <row r="1025" spans="1:1" ht="13.2">
      <c r="A1025" s="3"/>
    </row>
    <row r="1026" spans="1:1" ht="13.2">
      <c r="A1026" s="3"/>
    </row>
    <row r="1027" spans="1:1" ht="13.2">
      <c r="A1027" s="3"/>
    </row>
    <row r="1028" spans="1:1" ht="13.2">
      <c r="A1028" s="3"/>
    </row>
    <row r="1029" spans="1:1" ht="13.2">
      <c r="A1029" s="3"/>
    </row>
    <row r="1030" spans="1:1" ht="13.2">
      <c r="A1030" s="3"/>
    </row>
    <row r="1031" spans="1:1" ht="13.2">
      <c r="A1031" s="3"/>
    </row>
    <row r="1032" spans="1:1" ht="13.2">
      <c r="A1032" s="3"/>
    </row>
    <row r="1033" spans="1:1" ht="13.2">
      <c r="A1033" s="3"/>
    </row>
    <row r="1034" spans="1:1" ht="13.2">
      <c r="A1034" s="3"/>
    </row>
    <row r="1035" spans="1:1" ht="13.2">
      <c r="A1035" s="3"/>
    </row>
    <row r="1036" spans="1:1" ht="13.2">
      <c r="A1036" s="3"/>
    </row>
    <row r="1037" spans="1:1" ht="13.2">
      <c r="A1037" s="3"/>
    </row>
    <row r="1038" spans="1:1" ht="13.2">
      <c r="A1038" s="3"/>
    </row>
    <row r="1039" spans="1:1" ht="13.2">
      <c r="A1039" s="3"/>
    </row>
    <row r="1040" spans="1:1" ht="13.2">
      <c r="A1040" s="3"/>
    </row>
    <row r="1041" spans="1:1" ht="13.2">
      <c r="A1041" s="3"/>
    </row>
    <row r="1042" spans="1:1" ht="13.2">
      <c r="A1042" s="3"/>
    </row>
    <row r="1043" spans="1:1" ht="13.2">
      <c r="A1043" s="3"/>
    </row>
    <row r="1044" spans="1:1" ht="13.2">
      <c r="A1044" s="3"/>
    </row>
    <row r="1045" spans="1:1" ht="13.2">
      <c r="A1045" s="3"/>
    </row>
    <row r="1046" spans="1:1" ht="13.2">
      <c r="A1046" s="3"/>
    </row>
  </sheetData>
  <mergeCells count="8">
    <mergeCell ref="A1:F1"/>
    <mergeCell ref="M6:N6"/>
    <mergeCell ref="N16:N17"/>
    <mergeCell ref="O16:O17"/>
    <mergeCell ref="N18:N19"/>
    <mergeCell ref="O18:O19"/>
    <mergeCell ref="M16:M17"/>
    <mergeCell ref="M18:M19"/>
  </mergeCells>
  <pageMargins left="0.7" right="0.7" top="0.75" bottom="0.75" header="0.3" footer="0.3"/>
  <pageSetup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44"/>
  <sheetViews>
    <sheetView topLeftCell="G1" zoomScale="115" zoomScaleNormal="115" workbookViewId="0">
      <selection activeCell="G40" sqref="G40:G45"/>
    </sheetView>
  </sheetViews>
  <sheetFormatPr defaultColWidth="12.6640625" defaultRowHeight="15.75" customHeight="1"/>
  <cols>
    <col min="2" max="2" width="4.44140625" customWidth="1"/>
    <col min="3" max="3" width="5.44140625" customWidth="1"/>
    <col min="4" max="4" width="7.6640625" customWidth="1"/>
    <col min="5" max="5" width="9.109375" customWidth="1"/>
    <col min="6" max="6" width="38.44140625" customWidth="1"/>
    <col min="7" max="7" width="48.6640625" customWidth="1"/>
    <col min="8" max="8" width="80.88671875" customWidth="1"/>
    <col min="9" max="9" width="15.33203125" bestFit="1" customWidth="1"/>
    <col min="10" max="10" width="15.109375" customWidth="1"/>
  </cols>
  <sheetData>
    <row r="1" spans="1:9">
      <c r="A1" s="54" t="s">
        <v>0</v>
      </c>
      <c r="B1" s="55"/>
      <c r="C1" s="55"/>
      <c r="D1" s="55"/>
      <c r="E1" s="55"/>
      <c r="F1" s="55"/>
      <c r="G1" s="1" t="s">
        <v>1</v>
      </c>
      <c r="H1" s="2" t="s">
        <v>2</v>
      </c>
      <c r="I1" s="10" t="s">
        <v>707</v>
      </c>
    </row>
    <row r="2" spans="1:9">
      <c r="A2" s="3">
        <v>1</v>
      </c>
      <c r="B2" s="4" t="s">
        <v>3</v>
      </c>
    </row>
    <row r="3" spans="1:9">
      <c r="A3" s="3"/>
      <c r="B3" s="3">
        <v>1.1000000000000001</v>
      </c>
      <c r="C3" s="4" t="s">
        <v>4</v>
      </c>
      <c r="G3" s="4" t="s">
        <v>893</v>
      </c>
    </row>
    <row r="4" spans="1:9">
      <c r="A4" s="3"/>
      <c r="B4" s="3"/>
      <c r="C4" s="4" t="s">
        <v>6</v>
      </c>
      <c r="D4" s="4" t="s">
        <v>7</v>
      </c>
      <c r="G4" s="4" t="s">
        <v>714</v>
      </c>
    </row>
    <row r="5" spans="1:9">
      <c r="A5" s="3"/>
      <c r="B5" s="3"/>
      <c r="C5" s="4" t="s">
        <v>9</v>
      </c>
      <c r="D5" s="4" t="s">
        <v>10</v>
      </c>
      <c r="G5" s="4" t="s">
        <v>715</v>
      </c>
    </row>
    <row r="6" spans="1:9">
      <c r="A6" s="3"/>
      <c r="B6" s="3">
        <v>1.2</v>
      </c>
      <c r="C6" s="4" t="s">
        <v>12</v>
      </c>
    </row>
    <row r="7" spans="1:9">
      <c r="A7" s="3"/>
      <c r="B7" s="3"/>
      <c r="C7" s="4" t="s">
        <v>13</v>
      </c>
      <c r="D7" s="4" t="s">
        <v>14</v>
      </c>
      <c r="G7" s="4" t="s">
        <v>716</v>
      </c>
    </row>
    <row r="8" spans="1:9">
      <c r="A8" s="3"/>
      <c r="B8" s="3"/>
      <c r="D8" s="3" t="s">
        <v>16</v>
      </c>
      <c r="E8" s="4" t="s">
        <v>17</v>
      </c>
      <c r="G8" s="4" t="s">
        <v>717</v>
      </c>
    </row>
    <row r="9" spans="1:9">
      <c r="A9" s="3"/>
      <c r="B9" s="3"/>
      <c r="C9" s="4"/>
      <c r="D9" s="3" t="s">
        <v>19</v>
      </c>
      <c r="E9" s="4" t="s">
        <v>20</v>
      </c>
      <c r="G9" s="4" t="s">
        <v>718</v>
      </c>
    </row>
    <row r="10" spans="1:9">
      <c r="A10" s="3"/>
      <c r="B10" s="3"/>
      <c r="C10" s="4" t="s">
        <v>22</v>
      </c>
      <c r="D10" s="4" t="s">
        <v>23</v>
      </c>
    </row>
    <row r="11" spans="1:9">
      <c r="A11" s="3"/>
      <c r="B11" s="3"/>
      <c r="D11" s="3" t="s">
        <v>25</v>
      </c>
      <c r="E11" s="4" t="s">
        <v>26</v>
      </c>
      <c r="G11" s="4" t="s">
        <v>719</v>
      </c>
    </row>
    <row r="12" spans="1:9">
      <c r="A12" s="3"/>
      <c r="B12" s="3"/>
      <c r="D12" s="3" t="s">
        <v>28</v>
      </c>
      <c r="E12" s="4" t="s">
        <v>29</v>
      </c>
      <c r="G12" s="4" t="s">
        <v>720</v>
      </c>
    </row>
    <row r="13" spans="1:9">
      <c r="A13" s="3"/>
      <c r="B13" s="3"/>
      <c r="D13" s="3" t="s">
        <v>31</v>
      </c>
      <c r="E13" s="4" t="s">
        <v>32</v>
      </c>
      <c r="G13" s="4" t="s">
        <v>721</v>
      </c>
    </row>
    <row r="14" spans="1:9">
      <c r="A14" s="3"/>
      <c r="B14" s="3"/>
      <c r="D14" s="3" t="s">
        <v>34</v>
      </c>
      <c r="E14" s="4" t="s">
        <v>35</v>
      </c>
      <c r="G14" s="4" t="s">
        <v>722</v>
      </c>
    </row>
    <row r="15" spans="1:9">
      <c r="A15" s="3"/>
      <c r="B15" s="3">
        <v>1.3</v>
      </c>
      <c r="C15" s="4" t="s">
        <v>37</v>
      </c>
    </row>
    <row r="16" spans="1:9">
      <c r="A16" s="3"/>
      <c r="B16" s="3"/>
      <c r="C16" s="4" t="s">
        <v>38</v>
      </c>
      <c r="D16" s="4" t="s">
        <v>39</v>
      </c>
    </row>
    <row r="17" spans="1:7">
      <c r="A17" s="3"/>
      <c r="B17" s="3"/>
      <c r="D17" s="3" t="s">
        <v>40</v>
      </c>
      <c r="E17" s="4" t="s">
        <v>41</v>
      </c>
      <c r="G17" s="4" t="s">
        <v>723</v>
      </c>
    </row>
    <row r="18" spans="1:7">
      <c r="A18" s="3"/>
      <c r="B18" s="3"/>
      <c r="D18" s="3" t="s">
        <v>43</v>
      </c>
      <c r="E18" s="4" t="s">
        <v>44</v>
      </c>
      <c r="G18" s="4" t="s">
        <v>724</v>
      </c>
    </row>
    <row r="19" spans="1:7">
      <c r="A19" s="3"/>
      <c r="B19" s="3"/>
      <c r="D19" s="3" t="s">
        <v>46</v>
      </c>
      <c r="E19" s="4" t="s">
        <v>47</v>
      </c>
      <c r="G19" s="4" t="s">
        <v>725</v>
      </c>
    </row>
    <row r="20" spans="1:7">
      <c r="A20" s="3"/>
      <c r="B20" s="3"/>
      <c r="D20" s="3" t="s">
        <v>49</v>
      </c>
      <c r="E20" s="4" t="s">
        <v>50</v>
      </c>
      <c r="G20" s="4" t="s">
        <v>726</v>
      </c>
    </row>
    <row r="21" spans="1:7">
      <c r="A21" s="3"/>
      <c r="B21" s="3"/>
      <c r="D21" s="3" t="s">
        <v>52</v>
      </c>
      <c r="E21" s="4" t="s">
        <v>53</v>
      </c>
      <c r="G21" s="4" t="s">
        <v>727</v>
      </c>
    </row>
    <row r="22" spans="1:7">
      <c r="A22" s="3"/>
      <c r="B22" s="3"/>
      <c r="D22" s="3" t="s">
        <v>55</v>
      </c>
      <c r="E22" s="4" t="s">
        <v>56</v>
      </c>
      <c r="G22" s="4" t="s">
        <v>728</v>
      </c>
    </row>
    <row r="23" spans="1:7">
      <c r="A23" s="3"/>
      <c r="B23" s="3"/>
      <c r="C23" s="4" t="s">
        <v>58</v>
      </c>
      <c r="D23" s="4" t="s">
        <v>59</v>
      </c>
    </row>
    <row r="24" spans="1:7">
      <c r="A24" s="3"/>
      <c r="B24" s="3"/>
      <c r="D24" s="3" t="s">
        <v>60</v>
      </c>
      <c r="E24" s="4" t="s">
        <v>61</v>
      </c>
      <c r="G24" s="4" t="s">
        <v>729</v>
      </c>
    </row>
    <row r="25" spans="1:7">
      <c r="A25" s="3"/>
      <c r="B25" s="3"/>
      <c r="D25" s="3" t="s">
        <v>63</v>
      </c>
      <c r="E25" s="4" t="s">
        <v>64</v>
      </c>
      <c r="G25" s="4" t="s">
        <v>730</v>
      </c>
    </row>
    <row r="26" spans="1:7">
      <c r="A26" s="3"/>
      <c r="B26" s="3"/>
      <c r="D26" s="3"/>
      <c r="E26" s="3" t="s">
        <v>66</v>
      </c>
      <c r="F26" s="4" t="s">
        <v>67</v>
      </c>
      <c r="G26" s="4" t="s">
        <v>731</v>
      </c>
    </row>
    <row r="27" spans="1:7">
      <c r="A27" s="3"/>
      <c r="B27" s="3"/>
      <c r="D27" s="3"/>
      <c r="E27" s="3" t="s">
        <v>69</v>
      </c>
      <c r="F27" s="4" t="s">
        <v>70</v>
      </c>
      <c r="G27" s="4" t="s">
        <v>732</v>
      </c>
    </row>
    <row r="28" spans="1:7">
      <c r="A28" s="3"/>
      <c r="B28" s="3"/>
      <c r="D28" s="3" t="s">
        <v>72</v>
      </c>
      <c r="E28" s="4" t="s">
        <v>73</v>
      </c>
      <c r="G28" s="4" t="s">
        <v>74</v>
      </c>
    </row>
    <row r="29" spans="1:7">
      <c r="A29" s="3"/>
      <c r="B29" s="3"/>
      <c r="C29" s="4"/>
      <c r="D29" s="4"/>
      <c r="E29" s="3" t="s">
        <v>75</v>
      </c>
      <c r="F29" s="4" t="s">
        <v>76</v>
      </c>
      <c r="G29" s="4" t="s">
        <v>77</v>
      </c>
    </row>
    <row r="30" spans="1:7">
      <c r="A30" s="3"/>
      <c r="B30" s="3"/>
      <c r="C30" s="4"/>
      <c r="D30" s="4"/>
      <c r="E30" s="3" t="s">
        <v>78</v>
      </c>
      <c r="F30" s="4" t="s">
        <v>79</v>
      </c>
      <c r="G30" s="4" t="s">
        <v>733</v>
      </c>
    </row>
    <row r="31" spans="1:7">
      <c r="A31" s="3"/>
      <c r="B31" s="3"/>
      <c r="C31" s="4" t="s">
        <v>81</v>
      </c>
      <c r="D31" s="4" t="s">
        <v>82</v>
      </c>
    </row>
    <row r="32" spans="1:7">
      <c r="A32" s="3"/>
      <c r="B32" s="3"/>
      <c r="D32" s="3" t="s">
        <v>83</v>
      </c>
      <c r="E32" s="4" t="s">
        <v>84</v>
      </c>
      <c r="G32" s="4" t="s">
        <v>734</v>
      </c>
    </row>
    <row r="33" spans="1:7">
      <c r="A33" s="3"/>
      <c r="B33" s="3"/>
      <c r="D33" s="3" t="s">
        <v>86</v>
      </c>
      <c r="E33" s="4" t="s">
        <v>87</v>
      </c>
      <c r="G33" s="4" t="s">
        <v>735</v>
      </c>
    </row>
    <row r="34" spans="1:7">
      <c r="A34" s="3"/>
      <c r="B34" s="3"/>
      <c r="D34" s="3" t="s">
        <v>89</v>
      </c>
      <c r="E34" s="4" t="s">
        <v>90</v>
      </c>
      <c r="G34" s="4" t="s">
        <v>736</v>
      </c>
    </row>
    <row r="35" spans="1:7">
      <c r="A35" s="3"/>
      <c r="B35" s="3"/>
      <c r="D35" s="3" t="s">
        <v>92</v>
      </c>
      <c r="E35" s="4" t="s">
        <v>93</v>
      </c>
      <c r="G35" s="4" t="s">
        <v>737</v>
      </c>
    </row>
    <row r="36" spans="1:7">
      <c r="A36" s="3"/>
      <c r="B36" s="3"/>
      <c r="D36" s="3" t="s">
        <v>95</v>
      </c>
      <c r="E36" s="4" t="s">
        <v>96</v>
      </c>
      <c r="G36" s="4" t="s">
        <v>738</v>
      </c>
    </row>
    <row r="37" spans="1:7">
      <c r="A37" s="3"/>
      <c r="B37" s="3"/>
      <c r="D37" s="3" t="s">
        <v>98</v>
      </c>
      <c r="E37" s="4" t="s">
        <v>99</v>
      </c>
      <c r="G37" s="4" t="s">
        <v>739</v>
      </c>
    </row>
    <row r="38" spans="1:7">
      <c r="A38" s="3"/>
      <c r="B38" s="3">
        <v>1.4</v>
      </c>
      <c r="C38" s="4" t="s">
        <v>101</v>
      </c>
    </row>
    <row r="39" spans="1:7">
      <c r="A39" s="3"/>
      <c r="B39" s="3"/>
      <c r="C39" s="4" t="s">
        <v>102</v>
      </c>
      <c r="D39" s="4" t="s">
        <v>103</v>
      </c>
    </row>
    <row r="40" spans="1:7">
      <c r="A40" s="3"/>
      <c r="B40" s="3"/>
      <c r="D40" s="3" t="s">
        <v>105</v>
      </c>
      <c r="E40" s="4" t="s">
        <v>106</v>
      </c>
      <c r="G40" s="4" t="s">
        <v>740</v>
      </c>
    </row>
    <row r="41" spans="1:7">
      <c r="A41" s="3"/>
      <c r="B41" s="3"/>
      <c r="D41" s="3" t="s">
        <v>108</v>
      </c>
      <c r="E41" s="4" t="s">
        <v>109</v>
      </c>
      <c r="G41" s="4" t="s">
        <v>741</v>
      </c>
    </row>
    <row r="42" spans="1:7">
      <c r="A42" s="3"/>
      <c r="B42" s="3"/>
      <c r="C42" s="4" t="s">
        <v>111</v>
      </c>
      <c r="D42" s="4" t="s">
        <v>112</v>
      </c>
    </row>
    <row r="43" spans="1:7">
      <c r="A43" s="3"/>
      <c r="B43" s="3"/>
      <c r="D43" s="3" t="s">
        <v>114</v>
      </c>
      <c r="E43" s="4" t="s">
        <v>115</v>
      </c>
      <c r="G43" s="4" t="s">
        <v>742</v>
      </c>
    </row>
    <row r="44" spans="1:7">
      <c r="A44" s="3"/>
      <c r="B44" s="3"/>
      <c r="D44" s="3" t="s">
        <v>117</v>
      </c>
      <c r="E44" s="4" t="s">
        <v>118</v>
      </c>
      <c r="G44" s="4" t="s">
        <v>743</v>
      </c>
    </row>
    <row r="45" spans="1:7">
      <c r="A45" s="3"/>
      <c r="B45" s="3"/>
      <c r="D45" s="3" t="s">
        <v>120</v>
      </c>
      <c r="E45" s="4" t="s">
        <v>121</v>
      </c>
      <c r="G45" s="4" t="s">
        <v>744</v>
      </c>
    </row>
    <row r="46" spans="1:7">
      <c r="A46" s="3"/>
      <c r="B46" s="3">
        <v>1.5</v>
      </c>
      <c r="C46" s="4" t="s">
        <v>123</v>
      </c>
      <c r="D46" s="3"/>
    </row>
    <row r="47" spans="1:7">
      <c r="A47" s="3"/>
      <c r="B47" s="3"/>
      <c r="C47" s="4" t="s">
        <v>124</v>
      </c>
      <c r="D47" s="3" t="s">
        <v>125</v>
      </c>
    </row>
    <row r="48" spans="1:7">
      <c r="A48" s="3"/>
      <c r="B48" s="3"/>
      <c r="D48" s="3" t="s">
        <v>127</v>
      </c>
      <c r="E48" s="4" t="s">
        <v>128</v>
      </c>
      <c r="G48" s="4" t="s">
        <v>745</v>
      </c>
    </row>
    <row r="49" spans="1:8">
      <c r="A49" s="3"/>
      <c r="B49" s="3"/>
      <c r="D49" s="3" t="s">
        <v>130</v>
      </c>
      <c r="E49" s="4" t="s">
        <v>131</v>
      </c>
      <c r="G49" s="4" t="s">
        <v>746</v>
      </c>
    </row>
    <row r="50" spans="1:8">
      <c r="A50" s="3"/>
      <c r="B50" s="3"/>
      <c r="D50" s="3" t="s">
        <v>133</v>
      </c>
      <c r="E50" s="4" t="s">
        <v>134</v>
      </c>
      <c r="G50" s="4" t="s">
        <v>747</v>
      </c>
    </row>
    <row r="51" spans="1:8">
      <c r="A51" s="3"/>
      <c r="B51" s="3"/>
      <c r="C51" s="4" t="s">
        <v>136</v>
      </c>
      <c r="D51" s="5" t="s">
        <v>137</v>
      </c>
    </row>
    <row r="52" spans="1:8">
      <c r="A52" s="3"/>
      <c r="D52" s="3" t="s">
        <v>139</v>
      </c>
      <c r="E52" s="4" t="s">
        <v>140</v>
      </c>
      <c r="G52" s="4" t="s">
        <v>748</v>
      </c>
    </row>
    <row r="53" spans="1:8">
      <c r="A53" s="3"/>
      <c r="C53" s="4" t="s">
        <v>142</v>
      </c>
      <c r="D53" s="5" t="s">
        <v>143</v>
      </c>
    </row>
    <row r="54" spans="1:8">
      <c r="A54" s="3"/>
      <c r="D54" s="3" t="s">
        <v>145</v>
      </c>
      <c r="E54" s="4" t="s">
        <v>146</v>
      </c>
      <c r="G54" s="4" t="s">
        <v>749</v>
      </c>
    </row>
    <row r="55" spans="1:8">
      <c r="A55" s="3"/>
      <c r="C55" s="4" t="s">
        <v>148</v>
      </c>
      <c r="D55" s="3" t="s">
        <v>149</v>
      </c>
    </row>
    <row r="56" spans="1:8">
      <c r="A56" s="3"/>
      <c r="D56" s="3" t="s">
        <v>151</v>
      </c>
      <c r="E56" s="4" t="s">
        <v>152</v>
      </c>
      <c r="G56" s="4" t="s">
        <v>750</v>
      </c>
    </row>
    <row r="57" spans="1:8">
      <c r="A57" s="3"/>
      <c r="D57" s="3" t="s">
        <v>154</v>
      </c>
      <c r="E57" s="4" t="s">
        <v>155</v>
      </c>
      <c r="G57" s="4" t="s">
        <v>751</v>
      </c>
    </row>
    <row r="58" spans="1:8">
      <c r="A58" s="3"/>
      <c r="C58" s="6" t="s">
        <v>157</v>
      </c>
      <c r="D58" s="7" t="s">
        <v>158</v>
      </c>
      <c r="E58" s="6"/>
      <c r="F58" s="6"/>
      <c r="G58" s="6"/>
      <c r="H58" s="6"/>
    </row>
    <row r="59" spans="1:8">
      <c r="A59" s="3"/>
      <c r="D59" s="3" t="s">
        <v>160</v>
      </c>
      <c r="E59" s="4" t="s">
        <v>161</v>
      </c>
      <c r="G59" s="4" t="s">
        <v>752</v>
      </c>
    </row>
    <row r="60" spans="1:8">
      <c r="A60" s="3"/>
      <c r="D60" s="3" t="s">
        <v>163</v>
      </c>
      <c r="E60" s="4" t="s">
        <v>164</v>
      </c>
      <c r="G60" s="4" t="s">
        <v>753</v>
      </c>
    </row>
    <row r="61" spans="1:8">
      <c r="A61" s="3"/>
      <c r="B61" s="4">
        <v>1.6</v>
      </c>
      <c r="C61" s="4" t="s">
        <v>166</v>
      </c>
      <c r="D61" s="3"/>
    </row>
    <row r="62" spans="1:8">
      <c r="A62" s="3"/>
      <c r="C62" s="4" t="s">
        <v>167</v>
      </c>
      <c r="D62" s="4" t="s">
        <v>168</v>
      </c>
    </row>
    <row r="63" spans="1:8">
      <c r="A63" s="3"/>
      <c r="D63" s="3" t="s">
        <v>169</v>
      </c>
      <c r="E63" s="4" t="s">
        <v>170</v>
      </c>
      <c r="G63" s="4" t="s">
        <v>754</v>
      </c>
    </row>
    <row r="64" spans="1:8">
      <c r="A64" s="3"/>
      <c r="D64" s="3" t="s">
        <v>172</v>
      </c>
      <c r="E64" s="4" t="s">
        <v>173</v>
      </c>
      <c r="G64" s="4" t="s">
        <v>755</v>
      </c>
    </row>
    <row r="65" spans="1:7">
      <c r="A65" s="3"/>
      <c r="D65" s="3" t="s">
        <v>175</v>
      </c>
      <c r="E65" s="4" t="s">
        <v>176</v>
      </c>
      <c r="G65" s="4" t="s">
        <v>756</v>
      </c>
    </row>
    <row r="66" spans="1:7">
      <c r="A66" s="3"/>
      <c r="D66" s="3" t="s">
        <v>178</v>
      </c>
      <c r="E66" s="4" t="s">
        <v>179</v>
      </c>
      <c r="G66" s="4" t="s">
        <v>757</v>
      </c>
    </row>
    <row r="67" spans="1:7">
      <c r="A67" s="3"/>
      <c r="B67" s="4">
        <v>1.7</v>
      </c>
      <c r="C67" s="4" t="s">
        <v>181</v>
      </c>
    </row>
    <row r="68" spans="1:7">
      <c r="A68" s="3"/>
      <c r="C68" s="4" t="s">
        <v>182</v>
      </c>
      <c r="D68" s="4" t="s">
        <v>183</v>
      </c>
    </row>
    <row r="69" spans="1:7">
      <c r="A69" s="3"/>
      <c r="D69" s="3" t="s">
        <v>185</v>
      </c>
      <c r="E69" s="4" t="s">
        <v>186</v>
      </c>
      <c r="G69" s="4" t="s">
        <v>758</v>
      </c>
    </row>
    <row r="70" spans="1:7">
      <c r="A70" s="3"/>
      <c r="C70" s="4" t="s">
        <v>188</v>
      </c>
      <c r="D70" s="4" t="s">
        <v>189</v>
      </c>
    </row>
    <row r="71" spans="1:7">
      <c r="A71" s="3"/>
      <c r="D71" s="3" t="s">
        <v>191</v>
      </c>
      <c r="E71" s="4" t="s">
        <v>192</v>
      </c>
      <c r="G71" s="4" t="s">
        <v>759</v>
      </c>
    </row>
    <row r="72" spans="1:7">
      <c r="A72" s="3"/>
      <c r="C72" s="4" t="s">
        <v>194</v>
      </c>
      <c r="D72" s="4" t="s">
        <v>195</v>
      </c>
    </row>
    <row r="73" spans="1:7">
      <c r="A73" s="3"/>
      <c r="D73" s="3" t="s">
        <v>197</v>
      </c>
      <c r="E73" s="4" t="s">
        <v>198</v>
      </c>
      <c r="G73" s="4" t="s">
        <v>760</v>
      </c>
    </row>
    <row r="74" spans="1:7">
      <c r="A74" s="3"/>
      <c r="D74" s="3" t="s">
        <v>200</v>
      </c>
      <c r="E74" s="4" t="s">
        <v>201</v>
      </c>
      <c r="G74" s="4" t="s">
        <v>761</v>
      </c>
    </row>
    <row r="75" spans="1:7">
      <c r="A75" s="3">
        <v>2</v>
      </c>
      <c r="B75" s="4" t="s">
        <v>203</v>
      </c>
    </row>
    <row r="76" spans="1:7">
      <c r="A76" s="3"/>
      <c r="B76" s="3">
        <v>2.1</v>
      </c>
      <c r="C76" s="4" t="s">
        <v>204</v>
      </c>
    </row>
    <row r="77" spans="1:7">
      <c r="A77" s="3"/>
      <c r="B77" s="3"/>
      <c r="C77" s="4" t="s">
        <v>205</v>
      </c>
      <c r="D77" s="4" t="s">
        <v>206</v>
      </c>
      <c r="G77" s="4" t="s">
        <v>762</v>
      </c>
    </row>
    <row r="78" spans="1:7">
      <c r="A78" s="3"/>
      <c r="B78" s="3"/>
      <c r="D78" s="3" t="s">
        <v>208</v>
      </c>
      <c r="E78" s="5" t="s">
        <v>209</v>
      </c>
      <c r="G78" s="4" t="s">
        <v>763</v>
      </c>
    </row>
    <row r="79" spans="1:7">
      <c r="A79" s="3"/>
      <c r="B79" s="3"/>
      <c r="D79" s="3" t="s">
        <v>210</v>
      </c>
      <c r="E79" s="5" t="s">
        <v>211</v>
      </c>
      <c r="G79" s="4" t="s">
        <v>74</v>
      </c>
    </row>
    <row r="80" spans="1:7">
      <c r="A80" s="3"/>
      <c r="B80" s="3"/>
      <c r="C80" s="4" t="s">
        <v>212</v>
      </c>
      <c r="D80" s="4" t="s">
        <v>213</v>
      </c>
      <c r="E80" s="3"/>
    </row>
    <row r="81" spans="1:7">
      <c r="A81" s="3"/>
      <c r="B81" s="3"/>
      <c r="D81" s="3" t="s">
        <v>214</v>
      </c>
      <c r="E81" s="5" t="s">
        <v>215</v>
      </c>
      <c r="G81" s="4" t="s">
        <v>764</v>
      </c>
    </row>
    <row r="82" spans="1:7">
      <c r="A82" s="3"/>
      <c r="B82" s="3"/>
      <c r="D82" s="3" t="s">
        <v>217</v>
      </c>
      <c r="E82" s="5" t="s">
        <v>218</v>
      </c>
      <c r="G82" s="4" t="s">
        <v>765</v>
      </c>
    </row>
    <row r="83" spans="1:7">
      <c r="A83" s="3"/>
      <c r="B83" s="3"/>
      <c r="D83" s="3" t="s">
        <v>220</v>
      </c>
      <c r="E83" s="5" t="s">
        <v>221</v>
      </c>
      <c r="G83" s="4" t="s">
        <v>766</v>
      </c>
    </row>
    <row r="84" spans="1:7">
      <c r="A84" s="3"/>
      <c r="B84" s="3"/>
      <c r="D84" s="3" t="s">
        <v>223</v>
      </c>
      <c r="E84" s="5" t="s">
        <v>224</v>
      </c>
      <c r="G84" s="4" t="s">
        <v>767</v>
      </c>
    </row>
    <row r="85" spans="1:7">
      <c r="A85" s="3"/>
      <c r="B85" s="3"/>
      <c r="C85" s="4" t="s">
        <v>226</v>
      </c>
      <c r="D85" s="5" t="s">
        <v>227</v>
      </c>
      <c r="E85" s="3"/>
    </row>
    <row r="86" spans="1:7">
      <c r="A86" s="3"/>
      <c r="B86" s="3"/>
      <c r="D86" s="3" t="s">
        <v>228</v>
      </c>
      <c r="E86" s="5" t="s">
        <v>14</v>
      </c>
    </row>
    <row r="87" spans="1:7">
      <c r="A87" s="3"/>
      <c r="B87" s="3"/>
      <c r="E87" s="3" t="s">
        <v>229</v>
      </c>
      <c r="F87" s="5" t="s">
        <v>230</v>
      </c>
      <c r="G87" s="4" t="s">
        <v>768</v>
      </c>
    </row>
    <row r="88" spans="1:7">
      <c r="A88" s="3"/>
      <c r="B88" s="3"/>
      <c r="D88" s="3"/>
      <c r="E88" s="3" t="s">
        <v>232</v>
      </c>
      <c r="F88" s="5" t="s">
        <v>233</v>
      </c>
      <c r="G88" s="4" t="s">
        <v>769</v>
      </c>
    </row>
    <row r="89" spans="1:7">
      <c r="A89" s="3"/>
      <c r="B89" s="3"/>
      <c r="D89" s="3"/>
      <c r="E89" s="3" t="s">
        <v>235</v>
      </c>
      <c r="F89" s="5" t="s">
        <v>236</v>
      </c>
      <c r="G89" s="4" t="s">
        <v>770</v>
      </c>
    </row>
    <row r="90" spans="1:7">
      <c r="A90" s="3"/>
      <c r="B90" s="3"/>
      <c r="D90" s="3" t="s">
        <v>238</v>
      </c>
      <c r="E90" s="5" t="s">
        <v>239</v>
      </c>
    </row>
    <row r="91" spans="1:7">
      <c r="A91" s="3"/>
      <c r="B91" s="3"/>
      <c r="D91" s="3"/>
      <c r="E91" s="3" t="s">
        <v>240</v>
      </c>
      <c r="F91" s="4" t="s">
        <v>241</v>
      </c>
      <c r="G91" s="4" t="s">
        <v>771</v>
      </c>
    </row>
    <row r="92" spans="1:7">
      <c r="A92" s="3"/>
      <c r="B92" s="3"/>
      <c r="D92" s="3"/>
      <c r="E92" s="3" t="s">
        <v>243</v>
      </c>
      <c r="F92" s="4" t="s">
        <v>244</v>
      </c>
      <c r="G92" s="4" t="s">
        <v>772</v>
      </c>
    </row>
    <row r="93" spans="1:7">
      <c r="A93" s="3"/>
      <c r="B93" s="3">
        <v>2.2000000000000002</v>
      </c>
      <c r="C93" s="4" t="s">
        <v>246</v>
      </c>
      <c r="D93" s="3"/>
      <c r="E93" s="3"/>
    </row>
    <row r="94" spans="1:7">
      <c r="A94" s="3"/>
      <c r="B94" s="3"/>
      <c r="C94" s="4" t="s">
        <v>247</v>
      </c>
      <c r="D94" s="5" t="s">
        <v>248</v>
      </c>
      <c r="E94" s="3"/>
    </row>
    <row r="95" spans="1:7">
      <c r="A95" s="3"/>
      <c r="B95" s="3"/>
      <c r="D95" s="3" t="s">
        <v>249</v>
      </c>
      <c r="E95" s="5" t="s">
        <v>250</v>
      </c>
      <c r="G95" s="4" t="s">
        <v>773</v>
      </c>
    </row>
    <row r="96" spans="1:7">
      <c r="A96" s="3"/>
      <c r="B96" s="3"/>
      <c r="D96" s="3" t="s">
        <v>252</v>
      </c>
      <c r="E96" s="5" t="s">
        <v>253</v>
      </c>
      <c r="G96" s="4" t="s">
        <v>774</v>
      </c>
    </row>
    <row r="97" spans="1:7">
      <c r="A97" s="3"/>
      <c r="B97" s="3"/>
      <c r="C97" s="4" t="s">
        <v>255</v>
      </c>
      <c r="D97" s="5" t="s">
        <v>256</v>
      </c>
    </row>
    <row r="98" spans="1:7">
      <c r="A98" s="3"/>
      <c r="B98" s="3"/>
      <c r="D98" s="3" t="s">
        <v>257</v>
      </c>
      <c r="E98" s="4" t="s">
        <v>258</v>
      </c>
      <c r="G98" s="4" t="s">
        <v>259</v>
      </c>
    </row>
    <row r="99" spans="1:7">
      <c r="A99" s="3"/>
      <c r="B99" s="3"/>
      <c r="D99" s="3" t="s">
        <v>260</v>
      </c>
      <c r="E99" s="4" t="s">
        <v>261</v>
      </c>
      <c r="G99" s="4" t="s">
        <v>775</v>
      </c>
    </row>
    <row r="100" spans="1:7">
      <c r="A100" s="3"/>
      <c r="B100" s="3"/>
      <c r="D100" s="3" t="s">
        <v>262</v>
      </c>
      <c r="E100" s="4" t="s">
        <v>263</v>
      </c>
      <c r="G100" s="4" t="s">
        <v>776</v>
      </c>
    </row>
    <row r="101" spans="1:7">
      <c r="A101" s="3"/>
      <c r="B101" s="3"/>
      <c r="C101" s="4" t="s">
        <v>265</v>
      </c>
      <c r="D101" s="5" t="s">
        <v>266</v>
      </c>
    </row>
    <row r="102" spans="1:7">
      <c r="A102" s="3"/>
      <c r="B102" s="3"/>
      <c r="D102" s="3" t="s">
        <v>267</v>
      </c>
      <c r="E102" s="5" t="s">
        <v>268</v>
      </c>
    </row>
    <row r="103" spans="1:7">
      <c r="A103" s="3"/>
      <c r="B103" s="3"/>
      <c r="D103" s="3"/>
      <c r="E103" s="4" t="s">
        <v>269</v>
      </c>
      <c r="F103" s="4" t="s">
        <v>270</v>
      </c>
      <c r="G103" s="4" t="s">
        <v>777</v>
      </c>
    </row>
    <row r="104" spans="1:7">
      <c r="A104" s="3"/>
      <c r="B104" s="3"/>
      <c r="D104" s="3"/>
      <c r="E104" s="4" t="s">
        <v>272</v>
      </c>
      <c r="F104" s="4" t="s">
        <v>273</v>
      </c>
      <c r="G104" s="4" t="s">
        <v>778</v>
      </c>
    </row>
    <row r="105" spans="1:7">
      <c r="A105" s="3"/>
      <c r="B105" s="3"/>
      <c r="D105" s="3"/>
      <c r="E105" s="4" t="s">
        <v>275</v>
      </c>
      <c r="F105" s="4" t="s">
        <v>276</v>
      </c>
      <c r="G105" s="4" t="s">
        <v>779</v>
      </c>
    </row>
    <row r="106" spans="1:7">
      <c r="A106" s="3"/>
      <c r="B106" s="3"/>
      <c r="D106" s="3"/>
      <c r="E106" s="4" t="s">
        <v>278</v>
      </c>
      <c r="F106" s="4" t="s">
        <v>279</v>
      </c>
      <c r="G106" s="4" t="s">
        <v>780</v>
      </c>
    </row>
    <row r="107" spans="1:7">
      <c r="A107" s="3"/>
      <c r="B107" s="3"/>
      <c r="D107" s="3" t="s">
        <v>281</v>
      </c>
      <c r="E107" s="5" t="s">
        <v>282</v>
      </c>
    </row>
    <row r="108" spans="1:7">
      <c r="A108" s="3"/>
      <c r="B108" s="3"/>
      <c r="D108" s="3"/>
      <c r="E108" s="3" t="s">
        <v>283</v>
      </c>
      <c r="F108" s="4" t="s">
        <v>284</v>
      </c>
      <c r="G108" s="4" t="s">
        <v>781</v>
      </c>
    </row>
    <row r="109" spans="1:7">
      <c r="A109" s="3"/>
      <c r="B109" s="3"/>
      <c r="D109" s="3"/>
      <c r="E109" s="3" t="s">
        <v>286</v>
      </c>
      <c r="F109" s="4" t="s">
        <v>287</v>
      </c>
      <c r="G109" s="4" t="s">
        <v>782</v>
      </c>
    </row>
    <row r="110" spans="1:7">
      <c r="A110" s="3"/>
      <c r="B110" s="3"/>
      <c r="D110" s="3"/>
      <c r="E110" s="3" t="s">
        <v>289</v>
      </c>
      <c r="F110" s="4" t="s">
        <v>290</v>
      </c>
      <c r="G110" s="4" t="s">
        <v>783</v>
      </c>
    </row>
    <row r="111" spans="1:7">
      <c r="A111" s="3"/>
      <c r="B111" s="3"/>
      <c r="D111" s="3"/>
      <c r="E111" s="3" t="s">
        <v>292</v>
      </c>
      <c r="F111" s="4" t="s">
        <v>293</v>
      </c>
      <c r="G111" s="4" t="s">
        <v>784</v>
      </c>
    </row>
    <row r="112" spans="1:7">
      <c r="A112" s="3"/>
      <c r="B112" s="3"/>
      <c r="D112" s="3"/>
      <c r="E112" s="3" t="s">
        <v>295</v>
      </c>
      <c r="F112" s="4" t="s">
        <v>296</v>
      </c>
      <c r="G112" s="4" t="s">
        <v>785</v>
      </c>
    </row>
    <row r="113" spans="1:7">
      <c r="A113" s="3"/>
      <c r="B113" s="3"/>
      <c r="D113" s="3"/>
      <c r="E113" s="3" t="s">
        <v>298</v>
      </c>
      <c r="F113" s="4" t="s">
        <v>299</v>
      </c>
      <c r="G113" s="4" t="s">
        <v>786</v>
      </c>
    </row>
    <row r="114" spans="1:7">
      <c r="A114" s="3"/>
      <c r="B114" s="3">
        <v>2.2999999999999998</v>
      </c>
      <c r="C114" s="4" t="s">
        <v>301</v>
      </c>
      <c r="D114" s="3"/>
      <c r="E114" s="3"/>
    </row>
    <row r="115" spans="1:7">
      <c r="A115" s="3"/>
      <c r="B115" s="3"/>
      <c r="C115" s="4" t="s">
        <v>302</v>
      </c>
      <c r="D115" s="5" t="s">
        <v>303</v>
      </c>
    </row>
    <row r="116" spans="1:7">
      <c r="A116" s="3"/>
      <c r="B116" s="3"/>
      <c r="D116" s="3" t="s">
        <v>304</v>
      </c>
      <c r="E116" s="4" t="s">
        <v>305</v>
      </c>
      <c r="G116" s="4" t="s">
        <v>787</v>
      </c>
    </row>
    <row r="117" spans="1:7">
      <c r="A117" s="3"/>
      <c r="B117" s="3"/>
      <c r="D117" s="3" t="s">
        <v>307</v>
      </c>
      <c r="E117" s="4" t="s">
        <v>308</v>
      </c>
    </row>
    <row r="118" spans="1:7">
      <c r="A118" s="3"/>
      <c r="B118" s="3"/>
      <c r="D118" s="3"/>
      <c r="E118" s="3" t="s">
        <v>309</v>
      </c>
      <c r="F118" s="4" t="s">
        <v>310</v>
      </c>
      <c r="G118" s="4" t="s">
        <v>788</v>
      </c>
    </row>
    <row r="119" spans="1:7">
      <c r="A119" s="3"/>
      <c r="B119" s="3"/>
      <c r="D119" s="3"/>
      <c r="E119" s="3" t="s">
        <v>312</v>
      </c>
      <c r="F119" s="4" t="s">
        <v>313</v>
      </c>
      <c r="G119" s="4" t="s">
        <v>789</v>
      </c>
    </row>
    <row r="120" spans="1:7">
      <c r="A120" s="3"/>
      <c r="B120" s="3"/>
      <c r="D120" s="3"/>
      <c r="E120" s="3" t="s">
        <v>315</v>
      </c>
      <c r="F120" s="4" t="s">
        <v>316</v>
      </c>
      <c r="G120" s="4" t="s">
        <v>790</v>
      </c>
    </row>
    <row r="121" spans="1:7">
      <c r="A121" s="3"/>
      <c r="B121" s="3"/>
      <c r="D121" s="3" t="s">
        <v>318</v>
      </c>
      <c r="E121" s="4" t="s">
        <v>319</v>
      </c>
      <c r="G121" s="4" t="s">
        <v>791</v>
      </c>
    </row>
    <row r="122" spans="1:7">
      <c r="A122" s="3"/>
      <c r="B122" s="3"/>
      <c r="D122" s="3" t="s">
        <v>321</v>
      </c>
      <c r="E122" s="4" t="s">
        <v>322</v>
      </c>
      <c r="G122" s="4" t="s">
        <v>323</v>
      </c>
    </row>
    <row r="123" spans="1:7">
      <c r="A123" s="3"/>
      <c r="B123" s="3"/>
      <c r="D123" s="3" t="s">
        <v>324</v>
      </c>
      <c r="E123" s="4" t="s">
        <v>325</v>
      </c>
      <c r="G123" s="4" t="s">
        <v>792</v>
      </c>
    </row>
    <row r="124" spans="1:7">
      <c r="A124" s="3"/>
      <c r="B124" s="3"/>
      <c r="D124" s="3" t="s">
        <v>327</v>
      </c>
      <c r="E124" s="4" t="s">
        <v>328</v>
      </c>
      <c r="G124" s="4" t="s">
        <v>793</v>
      </c>
    </row>
    <row r="125" spans="1:7">
      <c r="A125" s="3"/>
      <c r="B125" s="3"/>
      <c r="D125" s="3" t="s">
        <v>330</v>
      </c>
      <c r="E125" s="4" t="s">
        <v>331</v>
      </c>
      <c r="G125" s="4" t="s">
        <v>794</v>
      </c>
    </row>
    <row r="126" spans="1:7">
      <c r="A126" s="3"/>
      <c r="B126" s="3"/>
      <c r="C126" s="4" t="s">
        <v>333</v>
      </c>
      <c r="D126" s="5" t="s">
        <v>334</v>
      </c>
    </row>
    <row r="127" spans="1:7">
      <c r="A127" s="3"/>
      <c r="B127" s="3"/>
      <c r="D127" s="3" t="s">
        <v>336</v>
      </c>
      <c r="E127" s="5" t="s">
        <v>337</v>
      </c>
      <c r="G127" s="4" t="s">
        <v>795</v>
      </c>
    </row>
    <row r="128" spans="1:7">
      <c r="A128" s="3"/>
      <c r="B128" s="3"/>
      <c r="D128" s="3" t="s">
        <v>339</v>
      </c>
      <c r="E128" s="4" t="s">
        <v>340</v>
      </c>
      <c r="G128" s="4" t="s">
        <v>796</v>
      </c>
    </row>
    <row r="129" spans="1:7">
      <c r="A129" s="3"/>
      <c r="B129" s="3">
        <v>2.4</v>
      </c>
      <c r="C129" s="4" t="s">
        <v>342</v>
      </c>
      <c r="D129" s="3"/>
    </row>
    <row r="130" spans="1:7">
      <c r="A130" s="3"/>
      <c r="B130" s="3"/>
      <c r="C130" s="4" t="s">
        <v>343</v>
      </c>
      <c r="D130" s="4" t="s">
        <v>342</v>
      </c>
    </row>
    <row r="131" spans="1:7">
      <c r="A131" s="3"/>
      <c r="B131" s="3"/>
      <c r="C131" s="4"/>
      <c r="D131" s="4" t="s">
        <v>344</v>
      </c>
      <c r="E131" s="4" t="s">
        <v>345</v>
      </c>
      <c r="G131" s="4" t="s">
        <v>346</v>
      </c>
    </row>
    <row r="132" spans="1:7">
      <c r="A132" s="3"/>
      <c r="B132" s="3"/>
      <c r="C132" s="4"/>
      <c r="D132" s="4" t="s">
        <v>347</v>
      </c>
      <c r="E132" s="4" t="s">
        <v>348</v>
      </c>
      <c r="G132" s="4" t="s">
        <v>797</v>
      </c>
    </row>
    <row r="133" spans="1:7">
      <c r="A133" s="3"/>
      <c r="B133" s="3"/>
      <c r="C133" s="4"/>
      <c r="D133" s="4" t="s">
        <v>350</v>
      </c>
      <c r="E133" s="4" t="s">
        <v>351</v>
      </c>
      <c r="G133" s="4" t="s">
        <v>798</v>
      </c>
    </row>
    <row r="134" spans="1:7">
      <c r="A134" s="3"/>
      <c r="B134" s="3"/>
      <c r="C134" s="4"/>
      <c r="D134" s="4" t="s">
        <v>353</v>
      </c>
      <c r="E134" s="4" t="s">
        <v>354</v>
      </c>
      <c r="G134" s="4" t="s">
        <v>355</v>
      </c>
    </row>
    <row r="135" spans="1:7">
      <c r="A135" s="3"/>
      <c r="B135" s="3"/>
      <c r="C135" s="4" t="s">
        <v>356</v>
      </c>
      <c r="D135" s="5" t="s">
        <v>357</v>
      </c>
    </row>
    <row r="136" spans="1:7">
      <c r="A136" s="3"/>
      <c r="B136" s="3"/>
      <c r="C136" s="4"/>
      <c r="D136" s="3" t="s">
        <v>358</v>
      </c>
      <c r="E136" s="4" t="s">
        <v>359</v>
      </c>
    </row>
    <row r="137" spans="1:7">
      <c r="A137" s="3"/>
      <c r="B137" s="3"/>
      <c r="C137" s="4"/>
      <c r="D137" s="3"/>
      <c r="E137" s="3" t="s">
        <v>360</v>
      </c>
      <c r="F137" s="4" t="s">
        <v>361</v>
      </c>
      <c r="G137" s="4" t="s">
        <v>355</v>
      </c>
    </row>
    <row r="138" spans="1:7">
      <c r="A138" s="3"/>
      <c r="B138" s="3"/>
      <c r="C138" s="4"/>
      <c r="D138" s="3"/>
      <c r="E138" s="3" t="s">
        <v>363</v>
      </c>
      <c r="F138" s="4" t="s">
        <v>364</v>
      </c>
      <c r="G138" s="4" t="s">
        <v>799</v>
      </c>
    </row>
    <row r="139" spans="1:7">
      <c r="A139" s="3"/>
      <c r="B139" s="3"/>
      <c r="C139" s="4"/>
      <c r="D139" s="3"/>
      <c r="E139" s="3" t="s">
        <v>366</v>
      </c>
      <c r="F139" s="4" t="s">
        <v>367</v>
      </c>
      <c r="G139" s="4" t="s">
        <v>800</v>
      </c>
    </row>
    <row r="140" spans="1:7">
      <c r="A140" s="3"/>
      <c r="B140" s="3"/>
      <c r="C140" s="4"/>
      <c r="D140" s="3" t="s">
        <v>369</v>
      </c>
      <c r="E140" s="4" t="s">
        <v>370</v>
      </c>
    </row>
    <row r="141" spans="1:7">
      <c r="A141" s="3"/>
      <c r="B141" s="3"/>
      <c r="C141" s="4"/>
      <c r="D141" s="5"/>
      <c r="E141" s="3" t="s">
        <v>371</v>
      </c>
      <c r="F141" s="4" t="s">
        <v>372</v>
      </c>
      <c r="G141" s="4" t="s">
        <v>801</v>
      </c>
    </row>
    <row r="142" spans="1:7">
      <c r="A142" s="3"/>
      <c r="B142" s="3"/>
      <c r="C142" s="4"/>
      <c r="D142" s="5"/>
      <c r="E142" s="3" t="s">
        <v>374</v>
      </c>
      <c r="F142" s="4" t="s">
        <v>375</v>
      </c>
      <c r="G142" s="4" t="s">
        <v>376</v>
      </c>
    </row>
    <row r="143" spans="1:7">
      <c r="A143" s="3"/>
      <c r="B143" s="3"/>
      <c r="C143" s="4"/>
      <c r="D143" s="5"/>
      <c r="E143" s="3" t="s">
        <v>377</v>
      </c>
      <c r="F143" s="4" t="s">
        <v>378</v>
      </c>
      <c r="G143" s="4" t="s">
        <v>802</v>
      </c>
    </row>
    <row r="144" spans="1:7">
      <c r="A144" s="3"/>
      <c r="B144" s="3"/>
      <c r="C144" s="4"/>
      <c r="D144" s="5"/>
      <c r="E144" s="3" t="s">
        <v>380</v>
      </c>
      <c r="F144" s="4" t="s">
        <v>381</v>
      </c>
      <c r="G144" s="4" t="s">
        <v>803</v>
      </c>
    </row>
    <row r="145" spans="1:7">
      <c r="A145" s="3"/>
      <c r="B145" s="3"/>
      <c r="C145" s="4" t="s">
        <v>383</v>
      </c>
      <c r="D145" s="5" t="s">
        <v>384</v>
      </c>
    </row>
    <row r="146" spans="1:7">
      <c r="A146" s="3"/>
      <c r="B146" s="3"/>
      <c r="C146" s="4"/>
      <c r="D146" s="3" t="s">
        <v>385</v>
      </c>
      <c r="E146" s="4" t="s">
        <v>386</v>
      </c>
      <c r="G146" s="4" t="s">
        <v>804</v>
      </c>
    </row>
    <row r="147" spans="1:7">
      <c r="A147" s="3"/>
      <c r="B147" s="3"/>
      <c r="C147" s="4"/>
      <c r="D147" s="3" t="s">
        <v>388</v>
      </c>
      <c r="E147" s="4" t="s">
        <v>389</v>
      </c>
      <c r="G147" s="4" t="s">
        <v>805</v>
      </c>
    </row>
    <row r="148" spans="1:7">
      <c r="A148" s="3"/>
      <c r="B148" s="3"/>
      <c r="C148" s="4"/>
      <c r="D148" s="3" t="s">
        <v>391</v>
      </c>
      <c r="E148" s="4" t="s">
        <v>392</v>
      </c>
      <c r="G148" s="4" t="s">
        <v>806</v>
      </c>
    </row>
    <row r="149" spans="1:7">
      <c r="A149" s="3"/>
      <c r="B149" s="3"/>
      <c r="C149" s="4" t="s">
        <v>394</v>
      </c>
      <c r="D149" s="5" t="s">
        <v>395</v>
      </c>
    </row>
    <row r="150" spans="1:7">
      <c r="A150" s="3"/>
      <c r="B150" s="3"/>
      <c r="C150" s="4"/>
      <c r="D150" s="3" t="s">
        <v>397</v>
      </c>
      <c r="E150" s="4" t="s">
        <v>398</v>
      </c>
    </row>
    <row r="151" spans="1:7">
      <c r="A151" s="3"/>
      <c r="B151" s="3"/>
      <c r="C151" s="4"/>
      <c r="D151" s="3"/>
      <c r="E151" s="3" t="s">
        <v>399</v>
      </c>
      <c r="F151" s="4" t="s">
        <v>400</v>
      </c>
      <c r="G151" s="4" t="s">
        <v>807</v>
      </c>
    </row>
    <row r="152" spans="1:7">
      <c r="A152" s="3"/>
      <c r="B152" s="3"/>
      <c r="C152" s="4"/>
      <c r="D152" s="3"/>
      <c r="E152" s="3" t="s">
        <v>402</v>
      </c>
      <c r="F152" s="4" t="s">
        <v>403</v>
      </c>
      <c r="G152" s="4" t="s">
        <v>808</v>
      </c>
    </row>
    <row r="153" spans="1:7">
      <c r="A153" s="3"/>
      <c r="B153" s="3"/>
      <c r="C153" s="4"/>
      <c r="D153" s="3"/>
      <c r="E153" s="3" t="s">
        <v>405</v>
      </c>
      <c r="F153" s="4" t="s">
        <v>406</v>
      </c>
      <c r="G153" s="4" t="s">
        <v>809</v>
      </c>
    </row>
    <row r="154" spans="1:7">
      <c r="A154" s="3"/>
      <c r="B154" s="3"/>
      <c r="C154" s="4"/>
      <c r="D154" s="3" t="s">
        <v>408</v>
      </c>
      <c r="E154" s="4" t="s">
        <v>409</v>
      </c>
      <c r="G154" s="4" t="s">
        <v>810</v>
      </c>
    </row>
    <row r="155" spans="1:7">
      <c r="A155" s="3"/>
      <c r="B155" s="3"/>
      <c r="C155" s="4"/>
      <c r="D155" s="3" t="s">
        <v>411</v>
      </c>
      <c r="E155" s="4" t="s">
        <v>412</v>
      </c>
      <c r="G155" s="4" t="s">
        <v>811</v>
      </c>
    </row>
    <row r="156" spans="1:7">
      <c r="A156" s="3"/>
      <c r="B156" s="3"/>
      <c r="C156" s="4"/>
      <c r="D156" s="3" t="s">
        <v>414</v>
      </c>
      <c r="E156" s="4" t="s">
        <v>415</v>
      </c>
      <c r="G156" s="4" t="s">
        <v>812</v>
      </c>
    </row>
    <row r="157" spans="1:7">
      <c r="A157" s="3"/>
      <c r="B157" s="3"/>
      <c r="C157" s="4"/>
      <c r="D157" s="3" t="s">
        <v>417</v>
      </c>
      <c r="E157" s="4" t="s">
        <v>418</v>
      </c>
      <c r="G157" s="4" t="s">
        <v>813</v>
      </c>
    </row>
    <row r="158" spans="1:7">
      <c r="A158" s="3"/>
      <c r="B158" s="3"/>
      <c r="C158" s="4"/>
      <c r="D158" s="3" t="s">
        <v>420</v>
      </c>
      <c r="E158" s="4" t="s">
        <v>421</v>
      </c>
      <c r="G158" s="4" t="s">
        <v>814</v>
      </c>
    </row>
    <row r="159" spans="1:7">
      <c r="A159" s="3"/>
      <c r="B159" s="3"/>
      <c r="C159" s="4" t="s">
        <v>423</v>
      </c>
      <c r="D159" s="5" t="s">
        <v>424</v>
      </c>
    </row>
    <row r="160" spans="1:7">
      <c r="A160" s="3"/>
      <c r="B160" s="3"/>
      <c r="C160" s="4"/>
      <c r="D160" s="3" t="s">
        <v>426</v>
      </c>
      <c r="E160" s="4" t="s">
        <v>427</v>
      </c>
      <c r="G160" s="4" t="s">
        <v>814</v>
      </c>
    </row>
    <row r="161" spans="1:7">
      <c r="A161" s="3"/>
      <c r="B161" s="3"/>
      <c r="C161" s="4" t="s">
        <v>429</v>
      </c>
      <c r="D161" s="5" t="s">
        <v>430</v>
      </c>
    </row>
    <row r="162" spans="1:7">
      <c r="A162" s="3"/>
      <c r="B162" s="3"/>
      <c r="D162" s="5" t="s">
        <v>432</v>
      </c>
      <c r="E162" s="4" t="s">
        <v>433</v>
      </c>
    </row>
    <row r="163" spans="1:7">
      <c r="A163" s="3"/>
      <c r="B163" s="3"/>
      <c r="D163" s="3"/>
      <c r="E163" s="3" t="s">
        <v>434</v>
      </c>
      <c r="F163" s="4" t="s">
        <v>435</v>
      </c>
      <c r="G163" s="4" t="s">
        <v>815</v>
      </c>
    </row>
    <row r="164" spans="1:7">
      <c r="A164" s="3"/>
      <c r="B164" s="3"/>
      <c r="D164" s="3"/>
      <c r="E164" s="3" t="s">
        <v>437</v>
      </c>
      <c r="F164" s="4" t="s">
        <v>438</v>
      </c>
      <c r="G164" s="4" t="s">
        <v>815</v>
      </c>
    </row>
    <row r="165" spans="1:7">
      <c r="A165" s="3"/>
      <c r="B165" s="3"/>
      <c r="D165" s="3"/>
      <c r="E165" s="3" t="s">
        <v>440</v>
      </c>
      <c r="F165" s="4" t="s">
        <v>441</v>
      </c>
      <c r="G165" s="4" t="s">
        <v>816</v>
      </c>
    </row>
    <row r="166" spans="1:7">
      <c r="A166" s="3"/>
      <c r="B166" s="3"/>
      <c r="D166" s="3"/>
      <c r="E166" s="3" t="s">
        <v>443</v>
      </c>
      <c r="F166" s="4" t="s">
        <v>444</v>
      </c>
      <c r="G166" s="4" t="s">
        <v>817</v>
      </c>
    </row>
    <row r="167" spans="1:7">
      <c r="A167" s="3"/>
      <c r="B167" s="3"/>
      <c r="D167" s="3"/>
      <c r="E167" s="3" t="s">
        <v>446</v>
      </c>
      <c r="F167" s="4" t="s">
        <v>447</v>
      </c>
      <c r="G167" s="4" t="s">
        <v>818</v>
      </c>
    </row>
    <row r="168" spans="1:7">
      <c r="A168" s="3"/>
      <c r="B168" s="3">
        <v>2.5</v>
      </c>
      <c r="C168" s="4" t="s">
        <v>449</v>
      </c>
    </row>
    <row r="169" spans="1:7">
      <c r="A169" s="3"/>
      <c r="B169" s="3"/>
      <c r="C169" s="3" t="s">
        <v>450</v>
      </c>
      <c r="D169" s="4" t="s">
        <v>451</v>
      </c>
    </row>
    <row r="170" spans="1:7">
      <c r="A170" s="3"/>
      <c r="B170" s="3"/>
      <c r="D170" s="3" t="s">
        <v>452</v>
      </c>
      <c r="E170" s="5" t="s">
        <v>453</v>
      </c>
      <c r="G170" s="4" t="s">
        <v>819</v>
      </c>
    </row>
    <row r="171" spans="1:7">
      <c r="A171" s="3"/>
      <c r="B171" s="3"/>
      <c r="C171" s="3" t="s">
        <v>455</v>
      </c>
      <c r="D171" s="5" t="s">
        <v>456</v>
      </c>
    </row>
    <row r="172" spans="1:7">
      <c r="A172" s="3"/>
      <c r="B172" s="3"/>
      <c r="D172" s="3" t="s">
        <v>457</v>
      </c>
      <c r="E172" s="5" t="s">
        <v>458</v>
      </c>
      <c r="G172" s="4" t="s">
        <v>820</v>
      </c>
    </row>
    <row r="173" spans="1:7">
      <c r="A173" s="3"/>
      <c r="B173" s="3"/>
      <c r="C173" s="3" t="s">
        <v>460</v>
      </c>
      <c r="D173" s="5" t="s">
        <v>461</v>
      </c>
    </row>
    <row r="174" spans="1:7">
      <c r="A174" s="3"/>
      <c r="B174" s="3"/>
      <c r="D174" s="3" t="s">
        <v>462</v>
      </c>
      <c r="E174" s="4" t="s">
        <v>463</v>
      </c>
      <c r="G174" s="4" t="s">
        <v>821</v>
      </c>
    </row>
    <row r="175" spans="1:7">
      <c r="A175" s="3"/>
      <c r="B175" s="3">
        <v>2.6</v>
      </c>
      <c r="C175" s="4" t="s">
        <v>465</v>
      </c>
      <c r="D175" s="3"/>
    </row>
    <row r="176" spans="1:7">
      <c r="A176" s="3"/>
      <c r="B176" s="3"/>
      <c r="C176" s="3" t="s">
        <v>466</v>
      </c>
      <c r="D176" s="4" t="s">
        <v>467</v>
      </c>
      <c r="G176" s="4" t="s">
        <v>822</v>
      </c>
    </row>
    <row r="177" spans="1:7">
      <c r="A177" s="3"/>
      <c r="B177" s="3">
        <v>2.7</v>
      </c>
      <c r="C177" s="4" t="s">
        <v>469</v>
      </c>
      <c r="D177" s="3"/>
    </row>
    <row r="178" spans="1:7">
      <c r="A178" s="3"/>
      <c r="B178" s="3"/>
      <c r="C178" s="4" t="s">
        <v>470</v>
      </c>
      <c r="D178" s="5" t="s">
        <v>471</v>
      </c>
    </row>
    <row r="179" spans="1:7">
      <c r="A179" s="3"/>
      <c r="B179" s="3"/>
      <c r="D179" s="3" t="s">
        <v>473</v>
      </c>
      <c r="E179" s="4" t="s">
        <v>474</v>
      </c>
      <c r="G179" s="4" t="s">
        <v>823</v>
      </c>
    </row>
    <row r="180" spans="1:7">
      <c r="A180" s="3"/>
      <c r="B180" s="3"/>
      <c r="C180" s="4" t="s">
        <v>476</v>
      </c>
      <c r="D180" s="5" t="s">
        <v>477</v>
      </c>
    </row>
    <row r="181" spans="1:7">
      <c r="A181" s="3"/>
      <c r="B181" s="3"/>
      <c r="D181" s="3" t="s">
        <v>479</v>
      </c>
      <c r="E181" s="4" t="s">
        <v>480</v>
      </c>
      <c r="G181" s="4" t="s">
        <v>824</v>
      </c>
    </row>
    <row r="182" spans="1:7">
      <c r="A182" s="3"/>
      <c r="B182" s="3"/>
      <c r="C182" s="4" t="s">
        <v>482</v>
      </c>
      <c r="D182" s="5" t="s">
        <v>483</v>
      </c>
    </row>
    <row r="183" spans="1:7">
      <c r="A183" s="3"/>
      <c r="B183" s="3"/>
      <c r="D183" s="4" t="s">
        <v>485</v>
      </c>
      <c r="E183" s="4" t="s">
        <v>486</v>
      </c>
      <c r="G183" s="4" t="s">
        <v>825</v>
      </c>
    </row>
    <row r="184" spans="1:7">
      <c r="A184" s="3"/>
      <c r="B184" s="3"/>
      <c r="C184" s="4" t="s">
        <v>488</v>
      </c>
      <c r="D184" s="5" t="s">
        <v>489</v>
      </c>
    </row>
    <row r="185" spans="1:7">
      <c r="A185" s="3"/>
      <c r="B185" s="3"/>
      <c r="D185" s="3" t="s">
        <v>491</v>
      </c>
      <c r="E185" s="4" t="s">
        <v>492</v>
      </c>
      <c r="G185" s="4" t="s">
        <v>826</v>
      </c>
    </row>
    <row r="186" spans="1:7">
      <c r="A186" s="3"/>
      <c r="B186" s="3"/>
      <c r="D186" s="3" t="s">
        <v>494</v>
      </c>
      <c r="E186" s="4" t="s">
        <v>495</v>
      </c>
      <c r="G186" s="4" t="s">
        <v>827</v>
      </c>
    </row>
    <row r="187" spans="1:7">
      <c r="A187" s="3"/>
      <c r="B187" s="3"/>
      <c r="D187" s="3" t="s">
        <v>497</v>
      </c>
      <c r="E187" s="5" t="s">
        <v>498</v>
      </c>
      <c r="G187" s="4" t="s">
        <v>828</v>
      </c>
    </row>
    <row r="188" spans="1:7">
      <c r="A188" s="3"/>
      <c r="B188" s="3"/>
      <c r="D188" s="3" t="s">
        <v>500</v>
      </c>
      <c r="E188" s="5" t="s">
        <v>501</v>
      </c>
      <c r="G188" s="4" t="s">
        <v>829</v>
      </c>
    </row>
    <row r="189" spans="1:7">
      <c r="A189" s="3"/>
      <c r="B189" s="3"/>
      <c r="D189" s="9" t="s">
        <v>503</v>
      </c>
      <c r="E189" s="7" t="s">
        <v>504</v>
      </c>
      <c r="F189" s="6"/>
      <c r="G189" s="4" t="s">
        <v>830</v>
      </c>
    </row>
    <row r="190" spans="1:7">
      <c r="A190" s="3"/>
      <c r="B190" s="3"/>
      <c r="D190" s="3" t="s">
        <v>506</v>
      </c>
      <c r="E190" s="5" t="s">
        <v>507</v>
      </c>
      <c r="G190" s="4" t="s">
        <v>831</v>
      </c>
    </row>
    <row r="191" spans="1:7">
      <c r="A191" s="3"/>
      <c r="B191" s="3"/>
      <c r="D191" s="3"/>
      <c r="E191" s="3" t="s">
        <v>509</v>
      </c>
      <c r="F191" s="4" t="s">
        <v>510</v>
      </c>
      <c r="G191" s="4" t="s">
        <v>832</v>
      </c>
    </row>
    <row r="192" spans="1:7">
      <c r="A192" s="3"/>
      <c r="B192" s="3"/>
      <c r="D192" s="3" t="s">
        <v>512</v>
      </c>
      <c r="E192" s="5" t="s">
        <v>513</v>
      </c>
      <c r="G192" s="4" t="s">
        <v>833</v>
      </c>
    </row>
    <row r="193" spans="1:7">
      <c r="A193" s="3"/>
      <c r="B193" s="3"/>
      <c r="D193" s="3" t="s">
        <v>515</v>
      </c>
      <c r="E193" s="5" t="s">
        <v>516</v>
      </c>
      <c r="G193" s="4" t="s">
        <v>834</v>
      </c>
    </row>
    <row r="194" spans="1:7">
      <c r="A194" s="3"/>
      <c r="B194" s="3"/>
      <c r="D194" s="3" t="s">
        <v>519</v>
      </c>
      <c r="E194" s="5" t="s">
        <v>520</v>
      </c>
      <c r="G194" s="4" t="s">
        <v>835</v>
      </c>
    </row>
    <row r="195" spans="1:7">
      <c r="A195" s="3">
        <v>3</v>
      </c>
      <c r="B195" s="5" t="s">
        <v>521</v>
      </c>
      <c r="D195" s="3"/>
    </row>
    <row r="196" spans="1:7">
      <c r="A196" s="3"/>
      <c r="B196" s="3">
        <v>3.1</v>
      </c>
      <c r="C196" s="4" t="s">
        <v>522</v>
      </c>
      <c r="D196" s="3"/>
    </row>
    <row r="197" spans="1:7">
      <c r="A197" s="3"/>
      <c r="B197" s="3"/>
      <c r="C197" s="4" t="s">
        <v>524</v>
      </c>
      <c r="D197" s="5" t="s">
        <v>525</v>
      </c>
      <c r="G197" s="4" t="s">
        <v>836</v>
      </c>
    </row>
    <row r="198" spans="1:7">
      <c r="A198" s="3"/>
      <c r="B198" s="3"/>
      <c r="C198" s="4" t="s">
        <v>527</v>
      </c>
      <c r="D198" s="5" t="s">
        <v>528</v>
      </c>
      <c r="G198" s="4" t="s">
        <v>837</v>
      </c>
    </row>
    <row r="199" spans="1:7">
      <c r="A199" s="3"/>
      <c r="B199" s="3"/>
      <c r="C199" s="4" t="s">
        <v>530</v>
      </c>
      <c r="D199" s="5" t="s">
        <v>531</v>
      </c>
      <c r="G199" s="4" t="s">
        <v>838</v>
      </c>
    </row>
    <row r="200" spans="1:7">
      <c r="A200" s="3"/>
      <c r="B200" s="3"/>
      <c r="C200" s="4" t="s">
        <v>533</v>
      </c>
      <c r="D200" s="5" t="s">
        <v>534</v>
      </c>
      <c r="G200" s="4" t="s">
        <v>535</v>
      </c>
    </row>
    <row r="201" spans="1:7">
      <c r="A201" s="3"/>
      <c r="B201" s="3"/>
      <c r="D201" s="4" t="s">
        <v>536</v>
      </c>
      <c r="E201" s="4" t="s">
        <v>537</v>
      </c>
      <c r="G201" s="4" t="s">
        <v>839</v>
      </c>
    </row>
    <row r="202" spans="1:7">
      <c r="A202" s="3"/>
      <c r="B202" s="3"/>
      <c r="D202" s="4" t="s">
        <v>539</v>
      </c>
      <c r="E202" s="4" t="s">
        <v>540</v>
      </c>
      <c r="G202" s="4" t="s">
        <v>840</v>
      </c>
    </row>
    <row r="203" spans="1:7">
      <c r="A203" s="3"/>
      <c r="B203" s="3"/>
      <c r="D203" s="4" t="s">
        <v>542</v>
      </c>
      <c r="E203" s="4" t="s">
        <v>543</v>
      </c>
      <c r="G203" s="4" t="s">
        <v>841</v>
      </c>
    </row>
    <row r="204" spans="1:7">
      <c r="A204" s="3"/>
      <c r="B204" s="3"/>
      <c r="D204" s="4" t="s">
        <v>545</v>
      </c>
      <c r="E204" s="4" t="s">
        <v>546</v>
      </c>
      <c r="G204" s="4" t="s">
        <v>842</v>
      </c>
    </row>
    <row r="205" spans="1:7">
      <c r="A205" s="3"/>
      <c r="B205" s="3"/>
      <c r="D205" s="4" t="s">
        <v>548</v>
      </c>
      <c r="E205" s="4" t="s">
        <v>549</v>
      </c>
      <c r="G205" s="4" t="s">
        <v>843</v>
      </c>
    </row>
    <row r="206" spans="1:7">
      <c r="A206" s="3"/>
      <c r="B206" s="3"/>
      <c r="C206" s="4" t="s">
        <v>551</v>
      </c>
      <c r="D206" s="5" t="s">
        <v>552</v>
      </c>
    </row>
    <row r="207" spans="1:7">
      <c r="A207" s="3"/>
      <c r="B207" s="3"/>
      <c r="D207" s="4" t="s">
        <v>554</v>
      </c>
      <c r="E207" s="4" t="s">
        <v>555</v>
      </c>
      <c r="G207" s="4" t="s">
        <v>844</v>
      </c>
    </row>
    <row r="208" spans="1:7">
      <c r="A208" s="3"/>
      <c r="B208" s="3"/>
      <c r="D208" s="4" t="s">
        <v>557</v>
      </c>
      <c r="E208" s="4" t="s">
        <v>558</v>
      </c>
      <c r="G208" s="4" t="s">
        <v>845</v>
      </c>
    </row>
    <row r="209" spans="1:7">
      <c r="A209" s="3"/>
      <c r="B209" s="3"/>
      <c r="C209" s="4" t="s">
        <v>560</v>
      </c>
      <c r="D209" s="5" t="s">
        <v>561</v>
      </c>
    </row>
    <row r="210" spans="1:7">
      <c r="A210" s="3"/>
      <c r="B210" s="3"/>
      <c r="D210" s="4" t="s">
        <v>563</v>
      </c>
      <c r="E210" s="4" t="s">
        <v>564</v>
      </c>
      <c r="G210" s="4" t="s">
        <v>846</v>
      </c>
    </row>
    <row r="211" spans="1:7">
      <c r="A211" s="3"/>
      <c r="B211" s="3"/>
      <c r="D211" s="4" t="s">
        <v>566</v>
      </c>
      <c r="E211" s="4" t="s">
        <v>567</v>
      </c>
      <c r="G211" s="4" t="s">
        <v>568</v>
      </c>
    </row>
    <row r="212" spans="1:7">
      <c r="A212" s="3"/>
      <c r="B212" s="3"/>
      <c r="D212" s="4" t="s">
        <v>569</v>
      </c>
      <c r="E212" s="4" t="s">
        <v>570</v>
      </c>
      <c r="G212" s="4" t="s">
        <v>847</v>
      </c>
    </row>
    <row r="213" spans="1:7">
      <c r="A213" s="3"/>
      <c r="B213" s="3"/>
      <c r="D213" s="4" t="s">
        <v>572</v>
      </c>
      <c r="E213" s="4" t="s">
        <v>573</v>
      </c>
      <c r="G213" s="4" t="s">
        <v>848</v>
      </c>
    </row>
    <row r="214" spans="1:7">
      <c r="A214" s="3"/>
      <c r="B214" s="3"/>
      <c r="D214" s="4" t="s">
        <v>575</v>
      </c>
      <c r="E214" s="4" t="s">
        <v>576</v>
      </c>
      <c r="G214" s="4" t="s">
        <v>849</v>
      </c>
    </row>
    <row r="215" spans="1:7">
      <c r="A215" s="3"/>
      <c r="B215" s="3">
        <v>3.2</v>
      </c>
      <c r="C215" s="4" t="s">
        <v>578</v>
      </c>
      <c r="D215" s="3"/>
    </row>
    <row r="216" spans="1:7">
      <c r="A216" s="3"/>
      <c r="B216" s="3"/>
      <c r="C216" s="3" t="s">
        <v>580</v>
      </c>
      <c r="D216" s="5" t="s">
        <v>581</v>
      </c>
      <c r="G216" s="4" t="s">
        <v>850</v>
      </c>
    </row>
    <row r="217" spans="1:7">
      <c r="A217" s="3"/>
      <c r="B217" s="3"/>
      <c r="C217" s="3" t="s">
        <v>583</v>
      </c>
      <c r="D217" s="5" t="s">
        <v>584</v>
      </c>
      <c r="G217" s="4" t="s">
        <v>851</v>
      </c>
    </row>
    <row r="218" spans="1:7">
      <c r="A218" s="3"/>
      <c r="B218" s="3"/>
      <c r="C218" s="3" t="s">
        <v>586</v>
      </c>
      <c r="D218" s="5" t="s">
        <v>587</v>
      </c>
      <c r="G218" s="4" t="s">
        <v>852</v>
      </c>
    </row>
    <row r="219" spans="1:7">
      <c r="A219" s="3"/>
      <c r="B219" s="3"/>
      <c r="C219" s="3" t="s">
        <v>589</v>
      </c>
      <c r="D219" s="4" t="s">
        <v>590</v>
      </c>
      <c r="G219" s="4" t="s">
        <v>853</v>
      </c>
    </row>
    <row r="220" spans="1:7">
      <c r="A220" s="3"/>
      <c r="B220" s="3"/>
      <c r="C220" s="3" t="s">
        <v>592</v>
      </c>
      <c r="D220" s="5" t="s">
        <v>593</v>
      </c>
      <c r="G220" s="4" t="s">
        <v>854</v>
      </c>
    </row>
    <row r="221" spans="1:7">
      <c r="A221" s="3"/>
      <c r="B221" s="3"/>
      <c r="C221" s="3" t="s">
        <v>595</v>
      </c>
      <c r="D221" s="5" t="s">
        <v>596</v>
      </c>
      <c r="G221" s="4" t="s">
        <v>855</v>
      </c>
    </row>
    <row r="222" spans="1:7">
      <c r="A222" s="3"/>
      <c r="B222" s="3"/>
      <c r="C222" s="3" t="s">
        <v>598</v>
      </c>
      <c r="D222" s="5" t="s">
        <v>599</v>
      </c>
      <c r="G222" s="4" t="s">
        <v>856</v>
      </c>
    </row>
    <row r="223" spans="1:7">
      <c r="A223" s="3"/>
      <c r="B223" s="3"/>
      <c r="D223" s="3" t="s">
        <v>601</v>
      </c>
      <c r="E223" s="4" t="s">
        <v>602</v>
      </c>
      <c r="G223" s="4" t="s">
        <v>603</v>
      </c>
    </row>
    <row r="224" spans="1:7">
      <c r="A224" s="3"/>
      <c r="B224" s="3"/>
      <c r="D224" s="3" t="s">
        <v>604</v>
      </c>
      <c r="E224" s="4" t="s">
        <v>605</v>
      </c>
      <c r="G224" s="4" t="s">
        <v>857</v>
      </c>
    </row>
    <row r="225" spans="1:7">
      <c r="A225" s="3"/>
      <c r="B225" s="3"/>
      <c r="D225" s="3" t="s">
        <v>607</v>
      </c>
      <c r="E225" s="4" t="s">
        <v>608</v>
      </c>
      <c r="G225" s="4" t="s">
        <v>858</v>
      </c>
    </row>
    <row r="226" spans="1:7">
      <c r="A226" s="3"/>
      <c r="B226" s="3">
        <v>3.3</v>
      </c>
      <c r="C226" s="4" t="s">
        <v>610</v>
      </c>
    </row>
    <row r="227" spans="1:7">
      <c r="A227" s="3"/>
      <c r="B227" s="3"/>
      <c r="C227" s="4" t="s">
        <v>612</v>
      </c>
      <c r="D227" s="4" t="s">
        <v>613</v>
      </c>
      <c r="G227" s="4" t="s">
        <v>614</v>
      </c>
    </row>
    <row r="228" spans="1:7">
      <c r="A228" s="3"/>
      <c r="B228" s="3"/>
      <c r="C228" s="4"/>
      <c r="D228" s="4" t="s">
        <v>615</v>
      </c>
      <c r="E228" s="4" t="s">
        <v>616</v>
      </c>
      <c r="G228" s="4" t="s">
        <v>859</v>
      </c>
    </row>
    <row r="229" spans="1:7">
      <c r="A229" s="3"/>
      <c r="B229" s="3"/>
      <c r="C229" s="4"/>
      <c r="D229" s="4" t="s">
        <v>618</v>
      </c>
      <c r="E229" s="4" t="s">
        <v>619</v>
      </c>
      <c r="G229" s="4" t="s">
        <v>860</v>
      </c>
    </row>
    <row r="230" spans="1:7">
      <c r="A230" s="3"/>
      <c r="B230" s="3"/>
      <c r="C230" s="4" t="s">
        <v>621</v>
      </c>
      <c r="D230" s="4" t="s">
        <v>622</v>
      </c>
      <c r="G230" s="4" t="s">
        <v>861</v>
      </c>
    </row>
    <row r="231" spans="1:7">
      <c r="A231" s="3"/>
      <c r="B231" s="3"/>
      <c r="C231" s="4" t="s">
        <v>624</v>
      </c>
      <c r="D231" s="4" t="s">
        <v>625</v>
      </c>
      <c r="G231" s="4" t="s">
        <v>862</v>
      </c>
    </row>
    <row r="232" spans="1:7">
      <c r="A232" s="3"/>
      <c r="B232" s="3"/>
      <c r="D232" s="4" t="s">
        <v>627</v>
      </c>
      <c r="E232" s="4" t="s">
        <v>628</v>
      </c>
    </row>
    <row r="233" spans="1:7">
      <c r="A233" s="3"/>
      <c r="B233" s="3"/>
      <c r="E233" s="3" t="s">
        <v>630</v>
      </c>
      <c r="F233" s="4" t="s">
        <v>631</v>
      </c>
      <c r="G233" s="4" t="s">
        <v>863</v>
      </c>
    </row>
    <row r="234" spans="1:7">
      <c r="A234" s="3"/>
      <c r="B234" s="3"/>
      <c r="E234" s="3" t="s">
        <v>633</v>
      </c>
      <c r="F234" s="4" t="s">
        <v>634</v>
      </c>
      <c r="G234" s="4" t="s">
        <v>864</v>
      </c>
    </row>
    <row r="235" spans="1:7">
      <c r="A235" s="3"/>
      <c r="D235" s="4" t="s">
        <v>636</v>
      </c>
      <c r="E235" s="4" t="s">
        <v>637</v>
      </c>
      <c r="G235" s="4" t="s">
        <v>865</v>
      </c>
    </row>
    <row r="236" spans="1:7">
      <c r="A236" s="3"/>
      <c r="E236" s="4" t="s">
        <v>866</v>
      </c>
      <c r="F236" s="4" t="s">
        <v>639</v>
      </c>
      <c r="G236" s="4" t="s">
        <v>867</v>
      </c>
    </row>
    <row r="237" spans="1:7">
      <c r="A237" s="3"/>
      <c r="B237" s="3">
        <v>3.4</v>
      </c>
      <c r="C237" s="4" t="s">
        <v>641</v>
      </c>
    </row>
    <row r="238" spans="1:7">
      <c r="A238" s="3"/>
      <c r="C238" s="4" t="s">
        <v>643</v>
      </c>
      <c r="D238" s="4" t="s">
        <v>644</v>
      </c>
      <c r="G238" s="4" t="s">
        <v>868</v>
      </c>
    </row>
    <row r="239" spans="1:7">
      <c r="A239" s="3"/>
      <c r="C239" s="4" t="s">
        <v>646</v>
      </c>
      <c r="D239" s="4" t="s">
        <v>647</v>
      </c>
      <c r="G239" s="4" t="s">
        <v>869</v>
      </c>
    </row>
    <row r="240" spans="1:7">
      <c r="A240" s="3"/>
      <c r="B240" s="3">
        <v>3.5</v>
      </c>
      <c r="C240" s="4" t="s">
        <v>649</v>
      </c>
    </row>
    <row r="241" spans="1:7">
      <c r="A241" s="3"/>
      <c r="C241" s="3" t="s">
        <v>651</v>
      </c>
      <c r="D241" s="4" t="s">
        <v>652</v>
      </c>
      <c r="G241" s="4" t="s">
        <v>870</v>
      </c>
    </row>
    <row r="242" spans="1:7">
      <c r="A242" s="3"/>
      <c r="C242" s="3" t="s">
        <v>654</v>
      </c>
      <c r="D242" s="5" t="s">
        <v>655</v>
      </c>
      <c r="G242" s="4" t="s">
        <v>871</v>
      </c>
    </row>
    <row r="243" spans="1:7">
      <c r="A243" s="3"/>
      <c r="C243" s="3" t="s">
        <v>658</v>
      </c>
      <c r="D243" s="5" t="s">
        <v>659</v>
      </c>
      <c r="G243" s="4" t="s">
        <v>872</v>
      </c>
    </row>
    <row r="244" spans="1:7">
      <c r="A244" s="3"/>
      <c r="D244" s="3" t="s">
        <v>661</v>
      </c>
      <c r="E244" s="4" t="s">
        <v>662</v>
      </c>
      <c r="G244" s="4" t="s">
        <v>873</v>
      </c>
    </row>
    <row r="245" spans="1:7">
      <c r="A245" s="3"/>
      <c r="D245" s="3" t="s">
        <v>664</v>
      </c>
      <c r="E245" s="4" t="s">
        <v>665</v>
      </c>
      <c r="G245" s="4" t="s">
        <v>874</v>
      </c>
    </row>
    <row r="246" spans="1:7">
      <c r="A246" s="3"/>
      <c r="D246" s="3" t="s">
        <v>666</v>
      </c>
      <c r="E246" s="4" t="s">
        <v>667</v>
      </c>
      <c r="G246" s="4" t="s">
        <v>875</v>
      </c>
    </row>
    <row r="247" spans="1:7">
      <c r="A247" s="3"/>
      <c r="D247" s="3" t="s">
        <v>669</v>
      </c>
      <c r="E247" s="4" t="s">
        <v>670</v>
      </c>
      <c r="G247" s="4" t="s">
        <v>876</v>
      </c>
    </row>
    <row r="248" spans="1:7">
      <c r="A248" s="3"/>
      <c r="B248" s="4">
        <v>3.6</v>
      </c>
      <c r="C248" s="4" t="s">
        <v>672</v>
      </c>
    </row>
    <row r="249" spans="1:7">
      <c r="A249" s="3"/>
      <c r="C249" s="4" t="s">
        <v>674</v>
      </c>
      <c r="D249" s="4" t="s">
        <v>675</v>
      </c>
    </row>
    <row r="250" spans="1:7">
      <c r="A250" s="3"/>
      <c r="D250" s="4" t="s">
        <v>677</v>
      </c>
      <c r="E250" s="4" t="s">
        <v>678</v>
      </c>
      <c r="G250" s="4" t="s">
        <v>877</v>
      </c>
    </row>
    <row r="251" spans="1:7">
      <c r="A251" s="3"/>
      <c r="D251" s="4" t="s">
        <v>680</v>
      </c>
      <c r="E251" s="4" t="s">
        <v>681</v>
      </c>
      <c r="G251" s="4" t="s">
        <v>878</v>
      </c>
    </row>
    <row r="252" spans="1:7">
      <c r="A252" s="3"/>
      <c r="C252" s="4" t="s">
        <v>683</v>
      </c>
      <c r="D252" s="4" t="s">
        <v>684</v>
      </c>
    </row>
    <row r="253" spans="1:7">
      <c r="A253" s="3"/>
      <c r="D253" s="4" t="s">
        <v>686</v>
      </c>
      <c r="E253" s="5" t="s">
        <v>687</v>
      </c>
      <c r="G253" s="4" t="s">
        <v>879</v>
      </c>
    </row>
    <row r="254" spans="1:7">
      <c r="A254" s="3"/>
      <c r="D254" s="4" t="s">
        <v>689</v>
      </c>
      <c r="E254" s="4" t="s">
        <v>690</v>
      </c>
      <c r="G254" s="4" t="s">
        <v>880</v>
      </c>
    </row>
    <row r="255" spans="1:7">
      <c r="A255" s="3"/>
      <c r="D255" s="4" t="s">
        <v>692</v>
      </c>
      <c r="E255" s="4" t="s">
        <v>693</v>
      </c>
      <c r="G255" s="4" t="s">
        <v>881</v>
      </c>
    </row>
    <row r="256" spans="1:7">
      <c r="A256" s="3"/>
      <c r="C256" s="4" t="s">
        <v>695</v>
      </c>
      <c r="D256" s="4" t="s">
        <v>696</v>
      </c>
    </row>
    <row r="257" spans="1:7">
      <c r="A257" s="3"/>
      <c r="D257" s="4" t="s">
        <v>698</v>
      </c>
      <c r="E257" s="5" t="s">
        <v>699</v>
      </c>
      <c r="G257" s="4" t="s">
        <v>882</v>
      </c>
    </row>
    <row r="258" spans="1:7">
      <c r="A258" s="3"/>
      <c r="D258" s="4" t="s">
        <v>701</v>
      </c>
      <c r="E258" s="4" t="s">
        <v>702</v>
      </c>
      <c r="G258" s="4" t="s">
        <v>883</v>
      </c>
    </row>
    <row r="259" spans="1:7">
      <c r="A259" s="3"/>
      <c r="D259" s="4" t="s">
        <v>704</v>
      </c>
      <c r="E259" s="4" t="s">
        <v>705</v>
      </c>
      <c r="G259" s="4" t="s">
        <v>884</v>
      </c>
    </row>
    <row r="260" spans="1:7">
      <c r="A260" s="3"/>
    </row>
    <row r="261" spans="1:7">
      <c r="A261" s="3"/>
    </row>
    <row r="262" spans="1:7">
      <c r="A262" s="3"/>
    </row>
    <row r="263" spans="1:7">
      <c r="A263" s="3"/>
    </row>
    <row r="264" spans="1:7">
      <c r="A264" s="3"/>
    </row>
    <row r="265" spans="1:7">
      <c r="A265" s="3"/>
    </row>
    <row r="266" spans="1:7">
      <c r="A266" s="3"/>
    </row>
    <row r="267" spans="1:7">
      <c r="A267" s="3"/>
    </row>
    <row r="268" spans="1:7">
      <c r="A268" s="3"/>
    </row>
    <row r="269" spans="1:7">
      <c r="A269" s="3"/>
    </row>
    <row r="270" spans="1:7">
      <c r="A270" s="3"/>
    </row>
    <row r="271" spans="1:7">
      <c r="A271" s="3"/>
    </row>
    <row r="272" spans="1:7">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row r="1014" spans="1:1">
      <c r="A1014" s="3"/>
    </row>
    <row r="1015" spans="1:1">
      <c r="A1015" s="3"/>
    </row>
    <row r="1016" spans="1:1">
      <c r="A1016" s="3"/>
    </row>
    <row r="1017" spans="1:1">
      <c r="A1017" s="3"/>
    </row>
    <row r="1018" spans="1:1">
      <c r="A1018" s="3"/>
    </row>
    <row r="1019" spans="1:1">
      <c r="A1019" s="3"/>
    </row>
    <row r="1020" spans="1:1">
      <c r="A1020" s="3"/>
    </row>
    <row r="1021" spans="1:1">
      <c r="A1021" s="3"/>
    </row>
    <row r="1022" spans="1:1">
      <c r="A1022" s="3"/>
    </row>
    <row r="1023" spans="1:1">
      <c r="A1023" s="3"/>
    </row>
    <row r="1024" spans="1:1">
      <c r="A1024" s="3"/>
    </row>
    <row r="1025" spans="1:1">
      <c r="A1025" s="3"/>
    </row>
    <row r="1026" spans="1:1">
      <c r="A1026" s="3"/>
    </row>
    <row r="1027" spans="1:1">
      <c r="A1027" s="3"/>
    </row>
    <row r="1028" spans="1:1">
      <c r="A1028" s="3"/>
    </row>
    <row r="1029" spans="1:1">
      <c r="A1029" s="3"/>
    </row>
    <row r="1030" spans="1:1">
      <c r="A1030" s="3"/>
    </row>
    <row r="1031" spans="1:1">
      <c r="A1031" s="3"/>
    </row>
    <row r="1032" spans="1:1">
      <c r="A1032" s="3"/>
    </row>
    <row r="1033" spans="1:1">
      <c r="A1033" s="3"/>
    </row>
    <row r="1034" spans="1:1">
      <c r="A1034" s="3"/>
    </row>
    <row r="1035" spans="1:1">
      <c r="A1035" s="3"/>
    </row>
    <row r="1036" spans="1:1">
      <c r="A1036" s="3"/>
    </row>
    <row r="1037" spans="1:1">
      <c r="A1037" s="3"/>
    </row>
    <row r="1038" spans="1:1">
      <c r="A1038" s="3"/>
    </row>
    <row r="1039" spans="1:1">
      <c r="A1039" s="3"/>
    </row>
    <row r="1040" spans="1:1">
      <c r="A1040" s="3"/>
    </row>
    <row r="1041" spans="1:1">
      <c r="A1041" s="3"/>
    </row>
    <row r="1042" spans="1:1">
      <c r="A1042" s="3"/>
    </row>
    <row r="1043" spans="1:1">
      <c r="A1043" s="3"/>
    </row>
    <row r="1044" spans="1:1">
      <c r="A1044" s="3"/>
    </row>
  </sheetData>
  <mergeCells count="1">
    <mergeCell ref="A1:F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C153-AFCC-48A0-992B-8FBB89A86E4A}">
  <sheetPr>
    <outlinePr summaryBelow="0" summaryRight="0"/>
  </sheetPr>
  <dimension ref="A1:I1044"/>
  <sheetViews>
    <sheetView workbookViewId="0">
      <selection activeCell="G29" sqref="G29"/>
    </sheetView>
  </sheetViews>
  <sheetFormatPr defaultColWidth="12.6640625" defaultRowHeight="15.75" customHeight="1"/>
  <cols>
    <col min="2" max="2" width="4.44140625" customWidth="1"/>
    <col min="3" max="3" width="5.44140625" customWidth="1"/>
    <col min="4" max="4" width="7.6640625" customWidth="1"/>
    <col min="5" max="5" width="9.109375" customWidth="1"/>
    <col min="6" max="6" width="38.44140625" customWidth="1"/>
    <col min="7" max="7" width="48.6640625" customWidth="1"/>
    <col min="8" max="8" width="80.88671875" customWidth="1"/>
    <col min="9" max="9" width="15.33203125" bestFit="1" customWidth="1"/>
    <col min="10" max="10" width="15.109375" customWidth="1"/>
  </cols>
  <sheetData>
    <row r="1" spans="1:9">
      <c r="A1" s="54" t="s">
        <v>0</v>
      </c>
      <c r="B1" s="55"/>
      <c r="C1" s="55"/>
      <c r="D1" s="55"/>
      <c r="E1" s="55"/>
      <c r="F1" s="55"/>
      <c r="G1" s="1" t="s">
        <v>1</v>
      </c>
      <c r="H1" s="2" t="s">
        <v>2</v>
      </c>
      <c r="I1" s="10" t="s">
        <v>707</v>
      </c>
    </row>
    <row r="2" spans="1:9">
      <c r="A2" s="3">
        <v>1</v>
      </c>
      <c r="B2" s="4" t="s">
        <v>3</v>
      </c>
    </row>
    <row r="3" spans="1:9">
      <c r="A3" s="3"/>
      <c r="B3" s="3">
        <v>1.1000000000000001</v>
      </c>
      <c r="C3" s="4" t="s">
        <v>4</v>
      </c>
      <c r="G3" s="4" t="s">
        <v>713</v>
      </c>
    </row>
    <row r="4" spans="1:9">
      <c r="A4" s="3"/>
      <c r="B4" s="3"/>
      <c r="C4" s="4" t="s">
        <v>6</v>
      </c>
      <c r="D4" s="4" t="s">
        <v>7</v>
      </c>
      <c r="G4" s="4" t="s">
        <v>714</v>
      </c>
    </row>
    <row r="5" spans="1:9">
      <c r="A5" s="3"/>
      <c r="B5" s="3"/>
      <c r="C5" s="4" t="s">
        <v>9</v>
      </c>
      <c r="D5" s="4" t="s">
        <v>10</v>
      </c>
      <c r="G5" s="4" t="s">
        <v>715</v>
      </c>
    </row>
    <row r="6" spans="1:9">
      <c r="A6" s="3"/>
      <c r="B6" s="3">
        <v>1.2</v>
      </c>
      <c r="C6" s="4" t="s">
        <v>12</v>
      </c>
    </row>
    <row r="7" spans="1:9">
      <c r="A7" s="3"/>
      <c r="B7" s="3"/>
      <c r="C7" s="4" t="s">
        <v>13</v>
      </c>
      <c r="D7" s="4" t="s">
        <v>14</v>
      </c>
      <c r="G7" s="4" t="s">
        <v>716</v>
      </c>
    </row>
    <row r="8" spans="1:9">
      <c r="A8" s="3"/>
      <c r="B8" s="3"/>
      <c r="D8" s="3" t="s">
        <v>16</v>
      </c>
      <c r="E8" s="4" t="s">
        <v>17</v>
      </c>
      <c r="G8" s="4" t="s">
        <v>717</v>
      </c>
    </row>
    <row r="9" spans="1:9">
      <c r="A9" s="3"/>
      <c r="B9" s="3"/>
      <c r="C9" s="4"/>
      <c r="D9" s="3" t="s">
        <v>19</v>
      </c>
      <c r="E9" s="4" t="s">
        <v>20</v>
      </c>
      <c r="G9" s="4" t="s">
        <v>718</v>
      </c>
    </row>
    <row r="10" spans="1:9">
      <c r="A10" s="3"/>
      <c r="B10" s="3"/>
      <c r="C10" s="4" t="s">
        <v>22</v>
      </c>
      <c r="D10" s="4" t="s">
        <v>23</v>
      </c>
    </row>
    <row r="11" spans="1:9">
      <c r="A11" s="3"/>
      <c r="B11" s="3"/>
      <c r="D11" s="3" t="s">
        <v>25</v>
      </c>
      <c r="E11" s="4" t="s">
        <v>26</v>
      </c>
      <c r="G11" s="4" t="s">
        <v>719</v>
      </c>
    </row>
    <row r="12" spans="1:9">
      <c r="A12" s="3"/>
      <c r="B12" s="3"/>
      <c r="D12" s="3" t="s">
        <v>28</v>
      </c>
      <c r="E12" s="4" t="s">
        <v>29</v>
      </c>
      <c r="G12" s="4" t="s">
        <v>720</v>
      </c>
    </row>
    <row r="13" spans="1:9">
      <c r="A13" s="3"/>
      <c r="B13" s="3"/>
      <c r="D13" s="3" t="s">
        <v>31</v>
      </c>
      <c r="E13" s="4" t="s">
        <v>32</v>
      </c>
      <c r="G13" s="4" t="s">
        <v>721</v>
      </c>
    </row>
    <row r="14" spans="1:9">
      <c r="A14" s="3"/>
      <c r="B14" s="3"/>
      <c r="D14" s="3" t="s">
        <v>34</v>
      </c>
      <c r="E14" s="4" t="s">
        <v>35</v>
      </c>
      <c r="G14" s="4" t="s">
        <v>722</v>
      </c>
    </row>
    <row r="15" spans="1:9">
      <c r="A15" s="3"/>
      <c r="B15" s="3">
        <v>1.3</v>
      </c>
      <c r="C15" s="4" t="s">
        <v>37</v>
      </c>
    </row>
    <row r="16" spans="1:9">
      <c r="A16" s="3"/>
      <c r="B16" s="3"/>
      <c r="C16" s="4" t="s">
        <v>38</v>
      </c>
      <c r="D16" s="4" t="s">
        <v>39</v>
      </c>
    </row>
    <row r="17" spans="1:7">
      <c r="A17" s="3"/>
      <c r="B17" s="3"/>
      <c r="D17" s="3" t="s">
        <v>40</v>
      </c>
      <c r="E17" s="4" t="s">
        <v>41</v>
      </c>
      <c r="G17" s="4" t="s">
        <v>723</v>
      </c>
    </row>
    <row r="18" spans="1:7">
      <c r="A18" s="3"/>
      <c r="B18" s="3"/>
      <c r="D18" s="3" t="s">
        <v>43</v>
      </c>
      <c r="E18" s="4" t="s">
        <v>44</v>
      </c>
      <c r="G18" s="4" t="s">
        <v>724</v>
      </c>
    </row>
    <row r="19" spans="1:7">
      <c r="A19" s="3"/>
      <c r="B19" s="3"/>
      <c r="D19" s="3" t="s">
        <v>46</v>
      </c>
      <c r="E19" s="4" t="s">
        <v>47</v>
      </c>
      <c r="G19" s="4" t="s">
        <v>725</v>
      </c>
    </row>
    <row r="20" spans="1:7">
      <c r="A20" s="3"/>
      <c r="B20" s="3"/>
      <c r="D20" s="3" t="s">
        <v>49</v>
      </c>
      <c r="E20" s="4" t="s">
        <v>50</v>
      </c>
      <c r="G20" s="4" t="s">
        <v>726</v>
      </c>
    </row>
    <row r="21" spans="1:7">
      <c r="A21" s="3"/>
      <c r="B21" s="3"/>
      <c r="D21" s="3" t="s">
        <v>52</v>
      </c>
      <c r="E21" s="4" t="s">
        <v>53</v>
      </c>
      <c r="G21" s="4" t="s">
        <v>727</v>
      </c>
    </row>
    <row r="22" spans="1:7">
      <c r="A22" s="3"/>
      <c r="B22" s="3"/>
      <c r="D22" s="3" t="s">
        <v>55</v>
      </c>
      <c r="E22" s="4" t="s">
        <v>56</v>
      </c>
      <c r="G22" s="4" t="s">
        <v>728</v>
      </c>
    </row>
    <row r="23" spans="1:7">
      <c r="A23" s="3"/>
      <c r="B23" s="3"/>
      <c r="C23" s="4" t="s">
        <v>58</v>
      </c>
      <c r="D23" s="4" t="s">
        <v>59</v>
      </c>
    </row>
    <row r="24" spans="1:7">
      <c r="A24" s="3"/>
      <c r="B24" s="3"/>
      <c r="D24" s="3" t="s">
        <v>60</v>
      </c>
      <c r="E24" s="4" t="s">
        <v>61</v>
      </c>
      <c r="G24" s="4" t="s">
        <v>729</v>
      </c>
    </row>
    <row r="25" spans="1:7">
      <c r="A25" s="3"/>
      <c r="B25" s="3"/>
      <c r="D25" s="3" t="s">
        <v>63</v>
      </c>
      <c r="E25" s="4" t="s">
        <v>64</v>
      </c>
      <c r="G25" s="4" t="s">
        <v>730</v>
      </c>
    </row>
    <row r="26" spans="1:7">
      <c r="A26" s="3"/>
      <c r="B26" s="3"/>
      <c r="D26" s="3"/>
      <c r="E26" s="3" t="s">
        <v>66</v>
      </c>
      <c r="F26" s="4" t="s">
        <v>67</v>
      </c>
      <c r="G26" s="4" t="s">
        <v>731</v>
      </c>
    </row>
    <row r="27" spans="1:7">
      <c r="A27" s="3"/>
      <c r="B27" s="3"/>
      <c r="D27" s="3"/>
      <c r="E27" s="3" t="s">
        <v>69</v>
      </c>
      <c r="F27" s="4" t="s">
        <v>70</v>
      </c>
      <c r="G27" s="4" t="s">
        <v>732</v>
      </c>
    </row>
    <row r="28" spans="1:7">
      <c r="A28" s="3"/>
      <c r="B28" s="3"/>
      <c r="D28" s="3" t="s">
        <v>72</v>
      </c>
      <c r="E28" s="4" t="s">
        <v>73</v>
      </c>
      <c r="G28" s="4" t="s">
        <v>74</v>
      </c>
    </row>
    <row r="29" spans="1:7">
      <c r="A29" s="3"/>
      <c r="B29" s="3"/>
      <c r="C29" s="4"/>
      <c r="D29" s="4"/>
      <c r="E29" s="3" t="s">
        <v>75</v>
      </c>
      <c r="F29" s="4" t="s">
        <v>76</v>
      </c>
      <c r="G29" s="4" t="s">
        <v>77</v>
      </c>
    </row>
    <row r="30" spans="1:7">
      <c r="A30" s="3"/>
      <c r="B30" s="3"/>
      <c r="C30" s="4"/>
      <c r="D30" s="4"/>
      <c r="E30" s="3" t="s">
        <v>78</v>
      </c>
      <c r="F30" s="4" t="s">
        <v>79</v>
      </c>
      <c r="G30" s="4" t="s">
        <v>733</v>
      </c>
    </row>
    <row r="31" spans="1:7">
      <c r="A31" s="3"/>
      <c r="B31" s="3"/>
      <c r="C31" s="4" t="s">
        <v>81</v>
      </c>
      <c r="D31" s="4" t="s">
        <v>82</v>
      </c>
    </row>
    <row r="32" spans="1:7">
      <c r="A32" s="3"/>
      <c r="B32" s="3"/>
      <c r="D32" s="3" t="s">
        <v>83</v>
      </c>
      <c r="E32" s="4" t="s">
        <v>84</v>
      </c>
      <c r="G32" s="4" t="s">
        <v>734</v>
      </c>
    </row>
    <row r="33" spans="1:7">
      <c r="A33" s="3"/>
      <c r="B33" s="3"/>
      <c r="D33" s="3" t="s">
        <v>86</v>
      </c>
      <c r="E33" s="4" t="s">
        <v>87</v>
      </c>
      <c r="G33" s="4" t="s">
        <v>735</v>
      </c>
    </row>
    <row r="34" spans="1:7">
      <c r="A34" s="3"/>
      <c r="B34" s="3"/>
      <c r="D34" s="3" t="s">
        <v>89</v>
      </c>
      <c r="E34" s="4" t="s">
        <v>90</v>
      </c>
      <c r="G34" s="4" t="s">
        <v>736</v>
      </c>
    </row>
    <row r="35" spans="1:7">
      <c r="A35" s="3"/>
      <c r="B35" s="3"/>
      <c r="D35" s="3" t="s">
        <v>92</v>
      </c>
      <c r="E35" s="4" t="s">
        <v>93</v>
      </c>
      <c r="G35" s="4" t="s">
        <v>737</v>
      </c>
    </row>
    <row r="36" spans="1:7">
      <c r="A36" s="3"/>
      <c r="B36" s="3"/>
      <c r="D36" s="3" t="s">
        <v>95</v>
      </c>
      <c r="E36" s="4" t="s">
        <v>96</v>
      </c>
      <c r="G36" s="4" t="s">
        <v>738</v>
      </c>
    </row>
    <row r="37" spans="1:7">
      <c r="A37" s="3"/>
      <c r="B37" s="3"/>
      <c r="D37" s="3" t="s">
        <v>98</v>
      </c>
      <c r="E37" s="4" t="s">
        <v>99</v>
      </c>
      <c r="G37" s="4" t="s">
        <v>739</v>
      </c>
    </row>
    <row r="38" spans="1:7">
      <c r="A38" s="3"/>
      <c r="B38" s="3">
        <v>1.4</v>
      </c>
      <c r="C38" s="4" t="s">
        <v>101</v>
      </c>
    </row>
    <row r="39" spans="1:7">
      <c r="A39" s="3"/>
      <c r="B39" s="3"/>
      <c r="C39" s="4" t="s">
        <v>102</v>
      </c>
      <c r="D39" s="4" t="s">
        <v>103</v>
      </c>
    </row>
    <row r="40" spans="1:7">
      <c r="A40" s="3"/>
      <c r="B40" s="3"/>
      <c r="D40" s="3" t="s">
        <v>105</v>
      </c>
      <c r="E40" s="4" t="s">
        <v>106</v>
      </c>
      <c r="G40" s="4" t="s">
        <v>740</v>
      </c>
    </row>
    <row r="41" spans="1:7">
      <c r="A41" s="3"/>
      <c r="B41" s="3"/>
      <c r="D41" s="3" t="s">
        <v>108</v>
      </c>
      <c r="E41" s="4" t="s">
        <v>109</v>
      </c>
      <c r="G41" s="4" t="s">
        <v>741</v>
      </c>
    </row>
    <row r="42" spans="1:7">
      <c r="A42" s="3"/>
      <c r="B42" s="3"/>
      <c r="C42" s="4" t="s">
        <v>111</v>
      </c>
      <c r="D42" s="4" t="s">
        <v>112</v>
      </c>
    </row>
    <row r="43" spans="1:7">
      <c r="A43" s="3"/>
      <c r="B43" s="3"/>
      <c r="D43" s="3" t="s">
        <v>114</v>
      </c>
      <c r="E43" s="4" t="s">
        <v>115</v>
      </c>
      <c r="G43" s="4" t="s">
        <v>742</v>
      </c>
    </row>
    <row r="44" spans="1:7">
      <c r="A44" s="3"/>
      <c r="B44" s="3"/>
      <c r="D44" s="3" t="s">
        <v>117</v>
      </c>
      <c r="E44" s="4" t="s">
        <v>118</v>
      </c>
      <c r="G44" s="4" t="s">
        <v>743</v>
      </c>
    </row>
    <row r="45" spans="1:7">
      <c r="A45" s="3"/>
      <c r="B45" s="3"/>
      <c r="D45" s="3" t="s">
        <v>120</v>
      </c>
      <c r="E45" s="4" t="s">
        <v>121</v>
      </c>
      <c r="G45" s="4" t="s">
        <v>744</v>
      </c>
    </row>
    <row r="46" spans="1:7">
      <c r="A46" s="3"/>
      <c r="B46" s="3">
        <v>1.5</v>
      </c>
      <c r="C46" s="4" t="s">
        <v>123</v>
      </c>
      <c r="D46" s="3"/>
    </row>
    <row r="47" spans="1:7">
      <c r="A47" s="3"/>
      <c r="B47" s="3"/>
      <c r="C47" s="4" t="s">
        <v>124</v>
      </c>
      <c r="D47" s="3" t="s">
        <v>125</v>
      </c>
    </row>
    <row r="48" spans="1:7">
      <c r="A48" s="3"/>
      <c r="B48" s="3"/>
      <c r="D48" s="3" t="s">
        <v>127</v>
      </c>
      <c r="E48" s="4" t="s">
        <v>128</v>
      </c>
      <c r="G48" s="4" t="s">
        <v>745</v>
      </c>
    </row>
    <row r="49" spans="1:8">
      <c r="A49" s="3"/>
      <c r="B49" s="3"/>
      <c r="D49" s="3" t="s">
        <v>130</v>
      </c>
      <c r="E49" s="4" t="s">
        <v>131</v>
      </c>
      <c r="G49" s="4" t="s">
        <v>746</v>
      </c>
    </row>
    <row r="50" spans="1:8">
      <c r="A50" s="3"/>
      <c r="B50" s="3"/>
      <c r="D50" s="3" t="s">
        <v>133</v>
      </c>
      <c r="E50" s="4" t="s">
        <v>134</v>
      </c>
      <c r="G50" s="4" t="s">
        <v>747</v>
      </c>
    </row>
    <row r="51" spans="1:8">
      <c r="A51" s="3"/>
      <c r="B51" s="3"/>
      <c r="C51" s="4" t="s">
        <v>136</v>
      </c>
      <c r="D51" s="5" t="s">
        <v>137</v>
      </c>
    </row>
    <row r="52" spans="1:8">
      <c r="A52" s="3"/>
      <c r="D52" s="3" t="s">
        <v>139</v>
      </c>
      <c r="E52" s="4" t="s">
        <v>140</v>
      </c>
      <c r="G52" s="4" t="s">
        <v>748</v>
      </c>
    </row>
    <row r="53" spans="1:8">
      <c r="A53" s="3"/>
      <c r="C53" s="4" t="s">
        <v>142</v>
      </c>
      <c r="D53" s="5" t="s">
        <v>143</v>
      </c>
    </row>
    <row r="54" spans="1:8">
      <c r="A54" s="3"/>
      <c r="D54" s="3" t="s">
        <v>145</v>
      </c>
      <c r="E54" s="4" t="s">
        <v>146</v>
      </c>
      <c r="G54" s="4" t="s">
        <v>749</v>
      </c>
    </row>
    <row r="55" spans="1:8">
      <c r="A55" s="3"/>
      <c r="C55" s="4" t="s">
        <v>148</v>
      </c>
      <c r="D55" s="3" t="s">
        <v>149</v>
      </c>
    </row>
    <row r="56" spans="1:8">
      <c r="A56" s="3"/>
      <c r="D56" s="3" t="s">
        <v>151</v>
      </c>
      <c r="E56" s="4" t="s">
        <v>152</v>
      </c>
      <c r="G56" s="4" t="s">
        <v>750</v>
      </c>
    </row>
    <row r="57" spans="1:8">
      <c r="A57" s="3"/>
      <c r="D57" s="3" t="s">
        <v>154</v>
      </c>
      <c r="E57" s="4" t="s">
        <v>155</v>
      </c>
      <c r="G57" s="4" t="s">
        <v>751</v>
      </c>
    </row>
    <row r="58" spans="1:8">
      <c r="A58" s="3"/>
      <c r="C58" s="6" t="s">
        <v>157</v>
      </c>
      <c r="D58" s="7" t="s">
        <v>158</v>
      </c>
      <c r="E58" s="6"/>
      <c r="F58" s="6"/>
      <c r="G58" s="6"/>
      <c r="H58" s="6"/>
    </row>
    <row r="59" spans="1:8">
      <c r="A59" s="3"/>
      <c r="D59" s="3" t="s">
        <v>160</v>
      </c>
      <c r="E59" s="4" t="s">
        <v>161</v>
      </c>
      <c r="G59" s="4" t="s">
        <v>752</v>
      </c>
    </row>
    <row r="60" spans="1:8">
      <c r="A60" s="3"/>
      <c r="D60" s="3" t="s">
        <v>163</v>
      </c>
      <c r="E60" s="4" t="s">
        <v>164</v>
      </c>
      <c r="G60" s="4" t="s">
        <v>753</v>
      </c>
    </row>
    <row r="61" spans="1:8">
      <c r="A61" s="3"/>
      <c r="B61" s="4">
        <v>1.6</v>
      </c>
      <c r="C61" s="4" t="s">
        <v>166</v>
      </c>
      <c r="D61" s="3"/>
    </row>
    <row r="62" spans="1:8">
      <c r="A62" s="3"/>
      <c r="C62" s="4" t="s">
        <v>167</v>
      </c>
      <c r="D62" s="4" t="s">
        <v>168</v>
      </c>
    </row>
    <row r="63" spans="1:8">
      <c r="A63" s="3"/>
      <c r="D63" s="3" t="s">
        <v>169</v>
      </c>
      <c r="E63" s="4" t="s">
        <v>170</v>
      </c>
      <c r="G63" s="4" t="s">
        <v>754</v>
      </c>
    </row>
    <row r="64" spans="1:8">
      <c r="A64" s="3"/>
      <c r="D64" s="3" t="s">
        <v>172</v>
      </c>
      <c r="E64" s="4" t="s">
        <v>173</v>
      </c>
      <c r="G64" s="4" t="s">
        <v>755</v>
      </c>
    </row>
    <row r="65" spans="1:7">
      <c r="A65" s="3"/>
      <c r="D65" s="3" t="s">
        <v>175</v>
      </c>
      <c r="E65" s="4" t="s">
        <v>176</v>
      </c>
      <c r="G65" s="4" t="s">
        <v>756</v>
      </c>
    </row>
    <row r="66" spans="1:7">
      <c r="A66" s="3"/>
      <c r="D66" s="3" t="s">
        <v>178</v>
      </c>
      <c r="E66" s="4" t="s">
        <v>179</v>
      </c>
      <c r="G66" s="4" t="s">
        <v>757</v>
      </c>
    </row>
    <row r="67" spans="1:7">
      <c r="A67" s="3"/>
      <c r="B67" s="4">
        <v>1.7</v>
      </c>
      <c r="C67" s="4" t="s">
        <v>181</v>
      </c>
    </row>
    <row r="68" spans="1:7">
      <c r="A68" s="3"/>
      <c r="C68" s="4" t="s">
        <v>182</v>
      </c>
      <c r="D68" s="4" t="s">
        <v>183</v>
      </c>
    </row>
    <row r="69" spans="1:7">
      <c r="A69" s="3"/>
      <c r="D69" s="3" t="s">
        <v>185</v>
      </c>
      <c r="E69" s="4" t="s">
        <v>186</v>
      </c>
      <c r="G69" s="4" t="s">
        <v>758</v>
      </c>
    </row>
    <row r="70" spans="1:7">
      <c r="A70" s="3"/>
      <c r="C70" s="4" t="s">
        <v>188</v>
      </c>
      <c r="D70" s="4" t="s">
        <v>189</v>
      </c>
    </row>
    <row r="71" spans="1:7">
      <c r="A71" s="3"/>
      <c r="D71" s="3" t="s">
        <v>191</v>
      </c>
      <c r="E71" s="4" t="s">
        <v>192</v>
      </c>
      <c r="G71" s="4" t="s">
        <v>759</v>
      </c>
    </row>
    <row r="72" spans="1:7">
      <c r="A72" s="3"/>
      <c r="C72" s="4" t="s">
        <v>194</v>
      </c>
      <c r="D72" s="4" t="s">
        <v>195</v>
      </c>
    </row>
    <row r="73" spans="1:7">
      <c r="A73" s="3"/>
      <c r="D73" s="3" t="s">
        <v>197</v>
      </c>
      <c r="E73" s="4" t="s">
        <v>198</v>
      </c>
      <c r="G73" s="4" t="s">
        <v>760</v>
      </c>
    </row>
    <row r="74" spans="1:7">
      <c r="A74" s="3"/>
      <c r="D74" s="3" t="s">
        <v>200</v>
      </c>
      <c r="E74" s="4" t="s">
        <v>201</v>
      </c>
      <c r="G74" s="4" t="s">
        <v>761</v>
      </c>
    </row>
    <row r="75" spans="1:7">
      <c r="A75" s="3">
        <v>2</v>
      </c>
      <c r="B75" s="4" t="s">
        <v>203</v>
      </c>
    </row>
    <row r="76" spans="1:7">
      <c r="A76" s="3"/>
      <c r="B76" s="3">
        <v>2.1</v>
      </c>
      <c r="C76" s="4" t="s">
        <v>204</v>
      </c>
    </row>
    <row r="77" spans="1:7">
      <c r="A77" s="3"/>
      <c r="B77" s="3"/>
      <c r="C77" s="4" t="s">
        <v>205</v>
      </c>
      <c r="D77" s="4" t="s">
        <v>206</v>
      </c>
      <c r="G77" s="4" t="s">
        <v>762</v>
      </c>
    </row>
    <row r="78" spans="1:7">
      <c r="A78" s="3"/>
      <c r="B78" s="3"/>
      <c r="D78" s="3" t="s">
        <v>208</v>
      </c>
      <c r="E78" s="5" t="s">
        <v>209</v>
      </c>
      <c r="G78" s="4" t="s">
        <v>763</v>
      </c>
    </row>
    <row r="79" spans="1:7">
      <c r="A79" s="3"/>
      <c r="B79" s="3"/>
      <c r="D79" s="3" t="s">
        <v>210</v>
      </c>
      <c r="E79" s="5" t="s">
        <v>211</v>
      </c>
      <c r="G79" s="4" t="s">
        <v>74</v>
      </c>
    </row>
    <row r="80" spans="1:7">
      <c r="A80" s="3"/>
      <c r="B80" s="3"/>
      <c r="C80" s="4" t="s">
        <v>212</v>
      </c>
      <c r="D80" s="4" t="s">
        <v>213</v>
      </c>
      <c r="E80" s="3"/>
    </row>
    <row r="81" spans="1:7">
      <c r="A81" s="3"/>
      <c r="B81" s="3"/>
      <c r="D81" s="3" t="s">
        <v>214</v>
      </c>
      <c r="E81" s="5" t="s">
        <v>215</v>
      </c>
      <c r="G81" s="4" t="s">
        <v>764</v>
      </c>
    </row>
    <row r="82" spans="1:7">
      <c r="A82" s="3"/>
      <c r="B82" s="3"/>
      <c r="D82" s="3" t="s">
        <v>217</v>
      </c>
      <c r="E82" s="5" t="s">
        <v>218</v>
      </c>
      <c r="G82" s="4" t="s">
        <v>765</v>
      </c>
    </row>
    <row r="83" spans="1:7">
      <c r="A83" s="3"/>
      <c r="B83" s="3"/>
      <c r="D83" s="3" t="s">
        <v>220</v>
      </c>
      <c r="E83" s="5" t="s">
        <v>221</v>
      </c>
      <c r="G83" s="4" t="s">
        <v>766</v>
      </c>
    </row>
    <row r="84" spans="1:7">
      <c r="A84" s="3"/>
      <c r="B84" s="3"/>
      <c r="D84" s="3" t="s">
        <v>223</v>
      </c>
      <c r="E84" s="5" t="s">
        <v>224</v>
      </c>
      <c r="G84" s="4" t="s">
        <v>767</v>
      </c>
    </row>
    <row r="85" spans="1:7">
      <c r="A85" s="3"/>
      <c r="B85" s="3"/>
      <c r="C85" s="4" t="s">
        <v>226</v>
      </c>
      <c r="D85" s="5" t="s">
        <v>227</v>
      </c>
      <c r="E85" s="3"/>
    </row>
    <row r="86" spans="1:7">
      <c r="A86" s="3"/>
      <c r="B86" s="3"/>
      <c r="D86" s="3" t="s">
        <v>228</v>
      </c>
      <c r="E86" s="5" t="s">
        <v>14</v>
      </c>
    </row>
    <row r="87" spans="1:7">
      <c r="A87" s="3"/>
      <c r="B87" s="3"/>
      <c r="E87" s="3" t="s">
        <v>229</v>
      </c>
      <c r="F87" s="5" t="s">
        <v>230</v>
      </c>
      <c r="G87" s="4" t="s">
        <v>768</v>
      </c>
    </row>
    <row r="88" spans="1:7">
      <c r="A88" s="3"/>
      <c r="B88" s="3"/>
      <c r="D88" s="3"/>
      <c r="E88" s="3" t="s">
        <v>232</v>
      </c>
      <c r="F88" s="5" t="s">
        <v>233</v>
      </c>
      <c r="G88" s="4" t="s">
        <v>769</v>
      </c>
    </row>
    <row r="89" spans="1:7">
      <c r="A89" s="3"/>
      <c r="B89" s="3"/>
      <c r="D89" s="3"/>
      <c r="E89" s="3" t="s">
        <v>235</v>
      </c>
      <c r="F89" s="5" t="s">
        <v>236</v>
      </c>
      <c r="G89" s="4" t="s">
        <v>770</v>
      </c>
    </row>
    <row r="90" spans="1:7">
      <c r="A90" s="3"/>
      <c r="B90" s="3"/>
      <c r="D90" s="3" t="s">
        <v>238</v>
      </c>
      <c r="E90" s="5" t="s">
        <v>239</v>
      </c>
    </row>
    <row r="91" spans="1:7">
      <c r="A91" s="3"/>
      <c r="B91" s="3"/>
      <c r="D91" s="3"/>
      <c r="E91" s="3" t="s">
        <v>240</v>
      </c>
      <c r="F91" s="4" t="s">
        <v>241</v>
      </c>
      <c r="G91" s="4" t="s">
        <v>771</v>
      </c>
    </row>
    <row r="92" spans="1:7">
      <c r="A92" s="3"/>
      <c r="B92" s="3"/>
      <c r="D92" s="3"/>
      <c r="E92" s="3" t="s">
        <v>243</v>
      </c>
      <c r="F92" s="4" t="s">
        <v>244</v>
      </c>
      <c r="G92" s="4" t="s">
        <v>772</v>
      </c>
    </row>
    <row r="93" spans="1:7">
      <c r="A93" s="3"/>
      <c r="B93" s="3">
        <v>2.2000000000000002</v>
      </c>
      <c r="C93" s="4" t="s">
        <v>246</v>
      </c>
      <c r="D93" s="3"/>
      <c r="E93" s="3"/>
    </row>
    <row r="94" spans="1:7">
      <c r="A94" s="3"/>
      <c r="B94" s="3"/>
      <c r="C94" s="4" t="s">
        <v>247</v>
      </c>
      <c r="D94" s="5" t="s">
        <v>248</v>
      </c>
      <c r="E94" s="3"/>
    </row>
    <row r="95" spans="1:7">
      <c r="A95" s="3"/>
      <c r="B95" s="3"/>
      <c r="D95" s="3" t="s">
        <v>249</v>
      </c>
      <c r="E95" s="5" t="s">
        <v>250</v>
      </c>
      <c r="G95" s="4" t="s">
        <v>773</v>
      </c>
    </row>
    <row r="96" spans="1:7">
      <c r="A96" s="3"/>
      <c r="B96" s="3"/>
      <c r="D96" s="3" t="s">
        <v>252</v>
      </c>
      <c r="E96" s="5" t="s">
        <v>253</v>
      </c>
      <c r="G96" s="4" t="s">
        <v>774</v>
      </c>
    </row>
    <row r="97" spans="1:7">
      <c r="A97" s="3"/>
      <c r="B97" s="3"/>
      <c r="C97" s="4" t="s">
        <v>255</v>
      </c>
      <c r="D97" s="5" t="s">
        <v>256</v>
      </c>
    </row>
    <row r="98" spans="1:7">
      <c r="A98" s="3"/>
      <c r="B98" s="3"/>
      <c r="D98" s="3" t="s">
        <v>257</v>
      </c>
      <c r="E98" s="4" t="s">
        <v>258</v>
      </c>
      <c r="G98" s="4" t="s">
        <v>259</v>
      </c>
    </row>
    <row r="99" spans="1:7">
      <c r="A99" s="3"/>
      <c r="B99" s="3"/>
      <c r="D99" s="3" t="s">
        <v>260</v>
      </c>
      <c r="E99" s="4" t="s">
        <v>261</v>
      </c>
      <c r="G99" s="4" t="s">
        <v>775</v>
      </c>
    </row>
    <row r="100" spans="1:7">
      <c r="A100" s="3"/>
      <c r="B100" s="3"/>
      <c r="D100" s="3" t="s">
        <v>262</v>
      </c>
      <c r="E100" s="4" t="s">
        <v>263</v>
      </c>
      <c r="G100" s="4" t="s">
        <v>776</v>
      </c>
    </row>
    <row r="101" spans="1:7">
      <c r="A101" s="3"/>
      <c r="B101" s="3"/>
      <c r="C101" s="4" t="s">
        <v>265</v>
      </c>
      <c r="D101" s="5" t="s">
        <v>266</v>
      </c>
    </row>
    <row r="102" spans="1:7">
      <c r="A102" s="3"/>
      <c r="B102" s="3"/>
      <c r="D102" s="3" t="s">
        <v>267</v>
      </c>
      <c r="E102" s="5" t="s">
        <v>268</v>
      </c>
    </row>
    <row r="103" spans="1:7">
      <c r="A103" s="3"/>
      <c r="B103" s="3"/>
      <c r="D103" s="3"/>
      <c r="E103" s="4" t="s">
        <v>269</v>
      </c>
      <c r="F103" s="4" t="s">
        <v>270</v>
      </c>
      <c r="G103" s="4" t="s">
        <v>777</v>
      </c>
    </row>
    <row r="104" spans="1:7">
      <c r="A104" s="3"/>
      <c r="B104" s="3"/>
      <c r="D104" s="3"/>
      <c r="E104" s="4" t="s">
        <v>272</v>
      </c>
      <c r="F104" s="4" t="s">
        <v>273</v>
      </c>
      <c r="G104" s="4" t="s">
        <v>778</v>
      </c>
    </row>
    <row r="105" spans="1:7">
      <c r="A105" s="3"/>
      <c r="B105" s="3"/>
      <c r="D105" s="3"/>
      <c r="E105" s="4" t="s">
        <v>275</v>
      </c>
      <c r="F105" s="4" t="s">
        <v>276</v>
      </c>
      <c r="G105" s="4" t="s">
        <v>779</v>
      </c>
    </row>
    <row r="106" spans="1:7">
      <c r="A106" s="3"/>
      <c r="B106" s="3"/>
      <c r="D106" s="3"/>
      <c r="E106" s="4" t="s">
        <v>278</v>
      </c>
      <c r="F106" s="4" t="s">
        <v>279</v>
      </c>
      <c r="G106" s="4" t="s">
        <v>780</v>
      </c>
    </row>
    <row r="107" spans="1:7">
      <c r="A107" s="3"/>
      <c r="B107" s="3"/>
      <c r="D107" s="3" t="s">
        <v>281</v>
      </c>
      <c r="E107" s="5" t="s">
        <v>282</v>
      </c>
    </row>
    <row r="108" spans="1:7">
      <c r="A108" s="3"/>
      <c r="B108" s="3"/>
      <c r="D108" s="3"/>
      <c r="E108" s="3" t="s">
        <v>283</v>
      </c>
      <c r="F108" s="4" t="s">
        <v>284</v>
      </c>
      <c r="G108" s="4" t="s">
        <v>781</v>
      </c>
    </row>
    <row r="109" spans="1:7">
      <c r="A109" s="3"/>
      <c r="B109" s="3"/>
      <c r="D109" s="3"/>
      <c r="E109" s="3" t="s">
        <v>286</v>
      </c>
      <c r="F109" s="4" t="s">
        <v>287</v>
      </c>
      <c r="G109" s="4" t="s">
        <v>782</v>
      </c>
    </row>
    <row r="110" spans="1:7">
      <c r="A110" s="3"/>
      <c r="B110" s="3"/>
      <c r="D110" s="3"/>
      <c r="E110" s="3" t="s">
        <v>289</v>
      </c>
      <c r="F110" s="4" t="s">
        <v>290</v>
      </c>
      <c r="G110" s="4" t="s">
        <v>783</v>
      </c>
    </row>
    <row r="111" spans="1:7">
      <c r="A111" s="3"/>
      <c r="B111" s="3"/>
      <c r="D111" s="3"/>
      <c r="E111" s="3" t="s">
        <v>292</v>
      </c>
      <c r="F111" s="4" t="s">
        <v>293</v>
      </c>
      <c r="G111" s="4" t="s">
        <v>784</v>
      </c>
    </row>
    <row r="112" spans="1:7">
      <c r="A112" s="3"/>
      <c r="B112" s="3"/>
      <c r="D112" s="3"/>
      <c r="E112" s="3" t="s">
        <v>295</v>
      </c>
      <c r="F112" s="4" t="s">
        <v>296</v>
      </c>
      <c r="G112" s="4" t="s">
        <v>785</v>
      </c>
    </row>
    <row r="113" spans="1:7">
      <c r="A113" s="3"/>
      <c r="B113" s="3"/>
      <c r="D113" s="3"/>
      <c r="E113" s="3" t="s">
        <v>298</v>
      </c>
      <c r="F113" s="4" t="s">
        <v>299</v>
      </c>
      <c r="G113" s="4" t="s">
        <v>786</v>
      </c>
    </row>
    <row r="114" spans="1:7">
      <c r="A114" s="3"/>
      <c r="B114" s="3">
        <v>2.2999999999999998</v>
      </c>
      <c r="C114" s="4" t="s">
        <v>301</v>
      </c>
      <c r="D114" s="3"/>
      <c r="E114" s="3"/>
    </row>
    <row r="115" spans="1:7">
      <c r="A115" s="3"/>
      <c r="B115" s="3"/>
      <c r="C115" s="4" t="s">
        <v>302</v>
      </c>
      <c r="D115" s="5" t="s">
        <v>303</v>
      </c>
    </row>
    <row r="116" spans="1:7">
      <c r="A116" s="3"/>
      <c r="B116" s="3"/>
      <c r="D116" s="3" t="s">
        <v>304</v>
      </c>
      <c r="E116" s="4" t="s">
        <v>305</v>
      </c>
      <c r="G116" s="4" t="s">
        <v>787</v>
      </c>
    </row>
    <row r="117" spans="1:7">
      <c r="A117" s="3"/>
      <c r="B117" s="3"/>
      <c r="D117" s="3" t="s">
        <v>307</v>
      </c>
      <c r="E117" s="4" t="s">
        <v>308</v>
      </c>
    </row>
    <row r="118" spans="1:7">
      <c r="A118" s="3"/>
      <c r="B118" s="3"/>
      <c r="D118" s="3"/>
      <c r="E118" s="3" t="s">
        <v>309</v>
      </c>
      <c r="F118" s="4" t="s">
        <v>310</v>
      </c>
      <c r="G118" s="4" t="s">
        <v>788</v>
      </c>
    </row>
    <row r="119" spans="1:7">
      <c r="A119" s="3"/>
      <c r="B119" s="3"/>
      <c r="D119" s="3"/>
      <c r="E119" s="3" t="s">
        <v>312</v>
      </c>
      <c r="F119" s="4" t="s">
        <v>313</v>
      </c>
      <c r="G119" s="4" t="s">
        <v>789</v>
      </c>
    </row>
    <row r="120" spans="1:7">
      <c r="A120" s="3"/>
      <c r="B120" s="3"/>
      <c r="D120" s="3"/>
      <c r="E120" s="3" t="s">
        <v>315</v>
      </c>
      <c r="F120" s="4" t="s">
        <v>316</v>
      </c>
      <c r="G120" s="4" t="s">
        <v>790</v>
      </c>
    </row>
    <row r="121" spans="1:7">
      <c r="A121" s="3"/>
      <c r="B121" s="3"/>
      <c r="D121" s="3" t="s">
        <v>318</v>
      </c>
      <c r="E121" s="4" t="s">
        <v>319</v>
      </c>
      <c r="G121" s="4" t="s">
        <v>791</v>
      </c>
    </row>
    <row r="122" spans="1:7">
      <c r="A122" s="3"/>
      <c r="B122" s="3"/>
      <c r="D122" s="3" t="s">
        <v>321</v>
      </c>
      <c r="E122" s="4" t="s">
        <v>322</v>
      </c>
      <c r="G122" s="4" t="s">
        <v>323</v>
      </c>
    </row>
    <row r="123" spans="1:7">
      <c r="A123" s="3"/>
      <c r="B123" s="3"/>
      <c r="D123" s="3" t="s">
        <v>324</v>
      </c>
      <c r="E123" s="4" t="s">
        <v>325</v>
      </c>
      <c r="G123" s="4" t="s">
        <v>792</v>
      </c>
    </row>
    <row r="124" spans="1:7">
      <c r="A124" s="3"/>
      <c r="B124" s="3"/>
      <c r="D124" s="3" t="s">
        <v>327</v>
      </c>
      <c r="E124" s="4" t="s">
        <v>328</v>
      </c>
      <c r="G124" s="4" t="s">
        <v>793</v>
      </c>
    </row>
    <row r="125" spans="1:7">
      <c r="A125" s="3"/>
      <c r="B125" s="3"/>
      <c r="D125" s="3" t="s">
        <v>330</v>
      </c>
      <c r="E125" s="4" t="s">
        <v>331</v>
      </c>
      <c r="G125" s="4" t="s">
        <v>794</v>
      </c>
    </row>
    <row r="126" spans="1:7">
      <c r="A126" s="3"/>
      <c r="B126" s="3"/>
      <c r="C126" s="4" t="s">
        <v>333</v>
      </c>
      <c r="D126" s="5" t="s">
        <v>334</v>
      </c>
    </row>
    <row r="127" spans="1:7">
      <c r="A127" s="3"/>
      <c r="B127" s="3"/>
      <c r="D127" s="3" t="s">
        <v>336</v>
      </c>
      <c r="E127" s="5" t="s">
        <v>337</v>
      </c>
      <c r="G127" s="4" t="s">
        <v>795</v>
      </c>
    </row>
    <row r="128" spans="1:7">
      <c r="A128" s="3"/>
      <c r="B128" s="3"/>
      <c r="D128" s="3" t="s">
        <v>339</v>
      </c>
      <c r="E128" s="4" t="s">
        <v>340</v>
      </c>
      <c r="G128" s="4" t="s">
        <v>796</v>
      </c>
    </row>
    <row r="129" spans="1:7">
      <c r="A129" s="3"/>
      <c r="B129" s="3">
        <v>2.4</v>
      </c>
      <c r="C129" s="4" t="s">
        <v>342</v>
      </c>
      <c r="D129" s="3"/>
    </row>
    <row r="130" spans="1:7">
      <c r="A130" s="3"/>
      <c r="B130" s="3"/>
      <c r="C130" s="4" t="s">
        <v>343</v>
      </c>
      <c r="D130" s="4" t="s">
        <v>342</v>
      </c>
    </row>
    <row r="131" spans="1:7">
      <c r="A131" s="3"/>
      <c r="B131" s="3"/>
      <c r="C131" s="4"/>
      <c r="D131" s="4" t="s">
        <v>344</v>
      </c>
      <c r="E131" s="4" t="s">
        <v>345</v>
      </c>
      <c r="G131" s="4" t="s">
        <v>346</v>
      </c>
    </row>
    <row r="132" spans="1:7">
      <c r="A132" s="3"/>
      <c r="B132" s="3"/>
      <c r="C132" s="4"/>
      <c r="D132" s="4" t="s">
        <v>347</v>
      </c>
      <c r="E132" s="4" t="s">
        <v>348</v>
      </c>
      <c r="G132" s="4" t="s">
        <v>797</v>
      </c>
    </row>
    <row r="133" spans="1:7">
      <c r="A133" s="3"/>
      <c r="B133" s="3"/>
      <c r="C133" s="4"/>
      <c r="D133" s="4" t="s">
        <v>350</v>
      </c>
      <c r="E133" s="4" t="s">
        <v>351</v>
      </c>
      <c r="G133" s="4" t="s">
        <v>798</v>
      </c>
    </row>
    <row r="134" spans="1:7">
      <c r="A134" s="3"/>
      <c r="B134" s="3"/>
      <c r="C134" s="4"/>
      <c r="D134" s="4" t="s">
        <v>353</v>
      </c>
      <c r="E134" s="4" t="s">
        <v>354</v>
      </c>
      <c r="G134" s="4" t="s">
        <v>355</v>
      </c>
    </row>
    <row r="135" spans="1:7">
      <c r="A135" s="3"/>
      <c r="B135" s="3"/>
      <c r="C135" s="4" t="s">
        <v>356</v>
      </c>
      <c r="D135" s="5" t="s">
        <v>357</v>
      </c>
    </row>
    <row r="136" spans="1:7">
      <c r="A136" s="3"/>
      <c r="B136" s="3"/>
      <c r="C136" s="4"/>
      <c r="D136" s="3" t="s">
        <v>358</v>
      </c>
      <c r="E136" s="4" t="s">
        <v>359</v>
      </c>
    </row>
    <row r="137" spans="1:7">
      <c r="A137" s="3"/>
      <c r="B137" s="3"/>
      <c r="C137" s="4"/>
      <c r="D137" s="3"/>
      <c r="E137" s="3" t="s">
        <v>360</v>
      </c>
      <c r="F137" s="4" t="s">
        <v>361</v>
      </c>
      <c r="G137" s="4" t="s">
        <v>355</v>
      </c>
    </row>
    <row r="138" spans="1:7">
      <c r="A138" s="3"/>
      <c r="B138" s="3"/>
      <c r="C138" s="4"/>
      <c r="D138" s="3"/>
      <c r="E138" s="3" t="s">
        <v>363</v>
      </c>
      <c r="F138" s="4" t="s">
        <v>364</v>
      </c>
      <c r="G138" s="4" t="s">
        <v>799</v>
      </c>
    </row>
    <row r="139" spans="1:7">
      <c r="A139" s="3"/>
      <c r="B139" s="3"/>
      <c r="C139" s="4"/>
      <c r="D139" s="3"/>
      <c r="E139" s="3" t="s">
        <v>366</v>
      </c>
      <c r="F139" s="4" t="s">
        <v>367</v>
      </c>
      <c r="G139" s="4" t="s">
        <v>800</v>
      </c>
    </row>
    <row r="140" spans="1:7">
      <c r="A140" s="3"/>
      <c r="B140" s="3"/>
      <c r="C140" s="4"/>
      <c r="D140" s="3" t="s">
        <v>369</v>
      </c>
      <c r="E140" s="4" t="s">
        <v>370</v>
      </c>
    </row>
    <row r="141" spans="1:7">
      <c r="A141" s="3"/>
      <c r="B141" s="3"/>
      <c r="C141" s="4"/>
      <c r="D141" s="5"/>
      <c r="E141" s="3" t="s">
        <v>371</v>
      </c>
      <c r="F141" s="4" t="s">
        <v>372</v>
      </c>
      <c r="G141" s="4" t="s">
        <v>801</v>
      </c>
    </row>
    <row r="142" spans="1:7">
      <c r="A142" s="3"/>
      <c r="B142" s="3"/>
      <c r="C142" s="4"/>
      <c r="D142" s="5"/>
      <c r="E142" s="3" t="s">
        <v>374</v>
      </c>
      <c r="F142" s="4" t="s">
        <v>375</v>
      </c>
      <c r="G142" s="4" t="s">
        <v>376</v>
      </c>
    </row>
    <row r="143" spans="1:7">
      <c r="A143" s="3"/>
      <c r="B143" s="3"/>
      <c r="C143" s="4"/>
      <c r="D143" s="5"/>
      <c r="E143" s="3" t="s">
        <v>377</v>
      </c>
      <c r="F143" s="4" t="s">
        <v>378</v>
      </c>
      <c r="G143" s="4" t="s">
        <v>802</v>
      </c>
    </row>
    <row r="144" spans="1:7">
      <c r="A144" s="3"/>
      <c r="B144" s="3"/>
      <c r="C144" s="4"/>
      <c r="D144" s="5"/>
      <c r="E144" s="3" t="s">
        <v>380</v>
      </c>
      <c r="F144" s="4" t="s">
        <v>381</v>
      </c>
      <c r="G144" s="4" t="s">
        <v>803</v>
      </c>
    </row>
    <row r="145" spans="1:7">
      <c r="A145" s="3"/>
      <c r="B145" s="3"/>
      <c r="C145" s="4" t="s">
        <v>383</v>
      </c>
      <c r="D145" s="5" t="s">
        <v>384</v>
      </c>
    </row>
    <row r="146" spans="1:7">
      <c r="A146" s="3"/>
      <c r="B146" s="3"/>
      <c r="C146" s="4"/>
      <c r="D146" s="3" t="s">
        <v>385</v>
      </c>
      <c r="E146" s="4" t="s">
        <v>386</v>
      </c>
      <c r="G146" s="4" t="s">
        <v>804</v>
      </c>
    </row>
    <row r="147" spans="1:7">
      <c r="A147" s="3"/>
      <c r="B147" s="3"/>
      <c r="C147" s="4"/>
      <c r="D147" s="3" t="s">
        <v>388</v>
      </c>
      <c r="E147" s="4" t="s">
        <v>389</v>
      </c>
      <c r="G147" s="4" t="s">
        <v>805</v>
      </c>
    </row>
    <row r="148" spans="1:7">
      <c r="A148" s="3"/>
      <c r="B148" s="3"/>
      <c r="C148" s="4"/>
      <c r="D148" s="3" t="s">
        <v>391</v>
      </c>
      <c r="E148" s="4" t="s">
        <v>392</v>
      </c>
      <c r="G148" s="4" t="s">
        <v>806</v>
      </c>
    </row>
    <row r="149" spans="1:7">
      <c r="A149" s="3"/>
      <c r="B149" s="3"/>
      <c r="C149" s="4" t="s">
        <v>394</v>
      </c>
      <c r="D149" s="5" t="s">
        <v>395</v>
      </c>
    </row>
    <row r="150" spans="1:7">
      <c r="A150" s="3"/>
      <c r="B150" s="3"/>
      <c r="C150" s="4"/>
      <c r="D150" s="3" t="s">
        <v>397</v>
      </c>
      <c r="E150" s="4" t="s">
        <v>398</v>
      </c>
    </row>
    <row r="151" spans="1:7">
      <c r="A151" s="3"/>
      <c r="B151" s="3"/>
      <c r="C151" s="4"/>
      <c r="D151" s="3"/>
      <c r="E151" s="3" t="s">
        <v>399</v>
      </c>
      <c r="F151" s="4" t="s">
        <v>400</v>
      </c>
      <c r="G151" s="4" t="s">
        <v>807</v>
      </c>
    </row>
    <row r="152" spans="1:7">
      <c r="A152" s="3"/>
      <c r="B152" s="3"/>
      <c r="C152" s="4"/>
      <c r="D152" s="3"/>
      <c r="E152" s="3" t="s">
        <v>402</v>
      </c>
      <c r="F152" s="4" t="s">
        <v>403</v>
      </c>
      <c r="G152" s="4" t="s">
        <v>808</v>
      </c>
    </row>
    <row r="153" spans="1:7">
      <c r="A153" s="3"/>
      <c r="B153" s="3"/>
      <c r="C153" s="4"/>
      <c r="D153" s="3"/>
      <c r="E153" s="3" t="s">
        <v>405</v>
      </c>
      <c r="F153" s="4" t="s">
        <v>406</v>
      </c>
      <c r="G153" s="4" t="s">
        <v>809</v>
      </c>
    </row>
    <row r="154" spans="1:7">
      <c r="A154" s="3"/>
      <c r="B154" s="3"/>
      <c r="C154" s="4"/>
      <c r="D154" s="3" t="s">
        <v>408</v>
      </c>
      <c r="E154" s="4" t="s">
        <v>409</v>
      </c>
      <c r="G154" s="4" t="s">
        <v>810</v>
      </c>
    </row>
    <row r="155" spans="1:7">
      <c r="A155" s="3"/>
      <c r="B155" s="3"/>
      <c r="C155" s="4"/>
      <c r="D155" s="3" t="s">
        <v>411</v>
      </c>
      <c r="E155" s="4" t="s">
        <v>412</v>
      </c>
      <c r="G155" s="4" t="s">
        <v>811</v>
      </c>
    </row>
    <row r="156" spans="1:7">
      <c r="A156" s="3"/>
      <c r="B156" s="3"/>
      <c r="C156" s="4"/>
      <c r="D156" s="3" t="s">
        <v>414</v>
      </c>
      <c r="E156" s="4" t="s">
        <v>415</v>
      </c>
      <c r="G156" s="4" t="s">
        <v>812</v>
      </c>
    </row>
    <row r="157" spans="1:7">
      <c r="A157" s="3"/>
      <c r="B157" s="3"/>
      <c r="C157" s="4"/>
      <c r="D157" s="3" t="s">
        <v>417</v>
      </c>
      <c r="E157" s="4" t="s">
        <v>418</v>
      </c>
      <c r="G157" s="4" t="s">
        <v>813</v>
      </c>
    </row>
    <row r="158" spans="1:7">
      <c r="A158" s="3"/>
      <c r="B158" s="3"/>
      <c r="C158" s="4"/>
      <c r="D158" s="3" t="s">
        <v>420</v>
      </c>
      <c r="E158" s="4" t="s">
        <v>421</v>
      </c>
      <c r="G158" s="4" t="s">
        <v>814</v>
      </c>
    </row>
    <row r="159" spans="1:7">
      <c r="A159" s="3"/>
      <c r="B159" s="3"/>
      <c r="C159" s="4" t="s">
        <v>423</v>
      </c>
      <c r="D159" s="5" t="s">
        <v>424</v>
      </c>
    </row>
    <row r="160" spans="1:7">
      <c r="A160" s="3"/>
      <c r="B160" s="3"/>
      <c r="C160" s="4"/>
      <c r="D160" s="3" t="s">
        <v>426</v>
      </c>
      <c r="E160" s="4" t="s">
        <v>427</v>
      </c>
      <c r="G160" s="4" t="s">
        <v>814</v>
      </c>
    </row>
    <row r="161" spans="1:7">
      <c r="A161" s="3"/>
      <c r="B161" s="3"/>
      <c r="C161" s="4" t="s">
        <v>429</v>
      </c>
      <c r="D161" s="5" t="s">
        <v>430</v>
      </c>
    </row>
    <row r="162" spans="1:7">
      <c r="A162" s="3"/>
      <c r="B162" s="3"/>
      <c r="D162" s="5" t="s">
        <v>432</v>
      </c>
      <c r="E162" s="4" t="s">
        <v>433</v>
      </c>
    </row>
    <row r="163" spans="1:7">
      <c r="A163" s="3"/>
      <c r="B163" s="3"/>
      <c r="D163" s="3"/>
      <c r="E163" s="3" t="s">
        <v>434</v>
      </c>
      <c r="F163" s="4" t="s">
        <v>435</v>
      </c>
      <c r="G163" s="4" t="s">
        <v>815</v>
      </c>
    </row>
    <row r="164" spans="1:7">
      <c r="A164" s="3"/>
      <c r="B164" s="3"/>
      <c r="D164" s="3"/>
      <c r="E164" s="3" t="s">
        <v>437</v>
      </c>
      <c r="F164" s="4" t="s">
        <v>438</v>
      </c>
      <c r="G164" s="4" t="s">
        <v>815</v>
      </c>
    </row>
    <row r="165" spans="1:7">
      <c r="A165" s="3"/>
      <c r="B165" s="3"/>
      <c r="D165" s="3"/>
      <c r="E165" s="3" t="s">
        <v>440</v>
      </c>
      <c r="F165" s="4" t="s">
        <v>441</v>
      </c>
      <c r="G165" s="4" t="s">
        <v>816</v>
      </c>
    </row>
    <row r="166" spans="1:7">
      <c r="A166" s="3"/>
      <c r="B166" s="3"/>
      <c r="D166" s="3"/>
      <c r="E166" s="3" t="s">
        <v>443</v>
      </c>
      <c r="F166" s="4" t="s">
        <v>444</v>
      </c>
      <c r="G166" s="4" t="s">
        <v>817</v>
      </c>
    </row>
    <row r="167" spans="1:7">
      <c r="A167" s="3"/>
      <c r="B167" s="3"/>
      <c r="D167" s="3"/>
      <c r="E167" s="3" t="s">
        <v>446</v>
      </c>
      <c r="F167" s="4" t="s">
        <v>447</v>
      </c>
      <c r="G167" s="4" t="s">
        <v>818</v>
      </c>
    </row>
    <row r="168" spans="1:7">
      <c r="A168" s="3"/>
      <c r="B168" s="3">
        <v>2.5</v>
      </c>
      <c r="C168" s="4" t="s">
        <v>449</v>
      </c>
    </row>
    <row r="169" spans="1:7">
      <c r="A169" s="3"/>
      <c r="B169" s="3"/>
      <c r="C169" s="3" t="s">
        <v>450</v>
      </c>
      <c r="D169" s="4" t="s">
        <v>451</v>
      </c>
    </row>
    <row r="170" spans="1:7">
      <c r="A170" s="3"/>
      <c r="B170" s="3"/>
      <c r="D170" s="3" t="s">
        <v>452</v>
      </c>
      <c r="E170" s="5" t="s">
        <v>453</v>
      </c>
      <c r="G170" s="4" t="s">
        <v>819</v>
      </c>
    </row>
    <row r="171" spans="1:7">
      <c r="A171" s="3"/>
      <c r="B171" s="3"/>
      <c r="C171" s="3" t="s">
        <v>455</v>
      </c>
      <c r="D171" s="5" t="s">
        <v>456</v>
      </c>
    </row>
    <row r="172" spans="1:7">
      <c r="A172" s="3"/>
      <c r="B172" s="3"/>
      <c r="D172" s="3" t="s">
        <v>457</v>
      </c>
      <c r="E172" s="5" t="s">
        <v>458</v>
      </c>
      <c r="G172" s="4" t="s">
        <v>820</v>
      </c>
    </row>
    <row r="173" spans="1:7">
      <c r="A173" s="3"/>
      <c r="B173" s="3"/>
      <c r="C173" s="3" t="s">
        <v>460</v>
      </c>
      <c r="D173" s="5" t="s">
        <v>461</v>
      </c>
    </row>
    <row r="174" spans="1:7">
      <c r="A174" s="3"/>
      <c r="B174" s="3"/>
      <c r="D174" s="3" t="s">
        <v>462</v>
      </c>
      <c r="E174" s="4" t="s">
        <v>463</v>
      </c>
      <c r="G174" s="4" t="s">
        <v>821</v>
      </c>
    </row>
    <row r="175" spans="1:7">
      <c r="A175" s="3"/>
      <c r="B175" s="3">
        <v>2.6</v>
      </c>
      <c r="C175" s="4" t="s">
        <v>465</v>
      </c>
      <c r="D175" s="3"/>
    </row>
    <row r="176" spans="1:7">
      <c r="A176" s="3"/>
      <c r="B176" s="3"/>
      <c r="C176" s="3" t="s">
        <v>466</v>
      </c>
      <c r="D176" s="4" t="s">
        <v>467</v>
      </c>
      <c r="G176" s="4" t="s">
        <v>822</v>
      </c>
    </row>
    <row r="177" spans="1:7">
      <c r="A177" s="3"/>
      <c r="B177" s="3">
        <v>2.7</v>
      </c>
      <c r="C177" s="4" t="s">
        <v>469</v>
      </c>
      <c r="D177" s="3"/>
    </row>
    <row r="178" spans="1:7">
      <c r="A178" s="3"/>
      <c r="B178" s="3"/>
      <c r="C178" s="4" t="s">
        <v>470</v>
      </c>
      <c r="D178" s="5" t="s">
        <v>471</v>
      </c>
    </row>
    <row r="179" spans="1:7">
      <c r="A179" s="3"/>
      <c r="B179" s="3"/>
      <c r="D179" s="3" t="s">
        <v>473</v>
      </c>
      <c r="E179" s="4" t="s">
        <v>474</v>
      </c>
      <c r="G179" s="4" t="s">
        <v>823</v>
      </c>
    </row>
    <row r="180" spans="1:7">
      <c r="A180" s="3"/>
      <c r="B180" s="3"/>
      <c r="C180" s="4" t="s">
        <v>476</v>
      </c>
      <c r="D180" s="5" t="s">
        <v>477</v>
      </c>
    </row>
    <row r="181" spans="1:7">
      <c r="A181" s="3"/>
      <c r="B181" s="3"/>
      <c r="D181" s="3" t="s">
        <v>479</v>
      </c>
      <c r="E181" s="4" t="s">
        <v>480</v>
      </c>
      <c r="G181" s="4" t="s">
        <v>824</v>
      </c>
    </row>
    <row r="182" spans="1:7">
      <c r="A182" s="3"/>
      <c r="B182" s="3"/>
      <c r="C182" s="4" t="s">
        <v>482</v>
      </c>
      <c r="D182" s="5" t="s">
        <v>483</v>
      </c>
    </row>
    <row r="183" spans="1:7">
      <c r="A183" s="3"/>
      <c r="B183" s="3"/>
      <c r="D183" s="4" t="s">
        <v>485</v>
      </c>
      <c r="E183" s="4" t="s">
        <v>486</v>
      </c>
      <c r="G183" s="4" t="s">
        <v>825</v>
      </c>
    </row>
    <row r="184" spans="1:7">
      <c r="A184" s="3"/>
      <c r="B184" s="3"/>
      <c r="C184" s="4" t="s">
        <v>488</v>
      </c>
      <c r="D184" s="5" t="s">
        <v>489</v>
      </c>
    </row>
    <row r="185" spans="1:7">
      <c r="A185" s="3"/>
      <c r="B185" s="3"/>
      <c r="D185" s="3" t="s">
        <v>491</v>
      </c>
      <c r="E185" s="4" t="s">
        <v>492</v>
      </c>
      <c r="G185" s="4" t="s">
        <v>826</v>
      </c>
    </row>
    <row r="186" spans="1:7">
      <c r="A186" s="3"/>
      <c r="B186" s="3"/>
      <c r="D186" s="3" t="s">
        <v>494</v>
      </c>
      <c r="E186" s="4" t="s">
        <v>495</v>
      </c>
      <c r="G186" s="4" t="s">
        <v>827</v>
      </c>
    </row>
    <row r="187" spans="1:7">
      <c r="A187" s="3"/>
      <c r="B187" s="3"/>
      <c r="D187" s="3" t="s">
        <v>497</v>
      </c>
      <c r="E187" s="5" t="s">
        <v>498</v>
      </c>
      <c r="G187" s="4" t="s">
        <v>828</v>
      </c>
    </row>
    <row r="188" spans="1:7">
      <c r="A188" s="3"/>
      <c r="B188" s="3"/>
      <c r="D188" s="3" t="s">
        <v>500</v>
      </c>
      <c r="E188" s="5" t="s">
        <v>501</v>
      </c>
      <c r="G188" s="4" t="s">
        <v>829</v>
      </c>
    </row>
    <row r="189" spans="1:7">
      <c r="A189" s="3"/>
      <c r="B189" s="3"/>
      <c r="D189" s="9" t="s">
        <v>503</v>
      </c>
      <c r="E189" s="7" t="s">
        <v>504</v>
      </c>
      <c r="F189" s="6"/>
      <c r="G189" s="4" t="s">
        <v>830</v>
      </c>
    </row>
    <row r="190" spans="1:7">
      <c r="A190" s="3"/>
      <c r="B190" s="3"/>
      <c r="D190" s="3" t="s">
        <v>506</v>
      </c>
      <c r="E190" s="5" t="s">
        <v>507</v>
      </c>
      <c r="G190" s="4" t="s">
        <v>831</v>
      </c>
    </row>
    <row r="191" spans="1:7">
      <c r="A191" s="3"/>
      <c r="B191" s="3"/>
      <c r="D191" s="3"/>
      <c r="E191" s="3" t="s">
        <v>509</v>
      </c>
      <c r="F191" s="4" t="s">
        <v>510</v>
      </c>
      <c r="G191" s="4" t="s">
        <v>832</v>
      </c>
    </row>
    <row r="192" spans="1:7">
      <c r="A192" s="3"/>
      <c r="B192" s="3"/>
      <c r="D192" s="3" t="s">
        <v>512</v>
      </c>
      <c r="E192" s="5" t="s">
        <v>513</v>
      </c>
      <c r="G192" s="4" t="s">
        <v>833</v>
      </c>
    </row>
    <row r="193" spans="1:7">
      <c r="A193" s="3"/>
      <c r="B193" s="3"/>
      <c r="D193" s="3" t="s">
        <v>515</v>
      </c>
      <c r="E193" s="5" t="s">
        <v>516</v>
      </c>
      <c r="G193" s="4" t="s">
        <v>834</v>
      </c>
    </row>
    <row r="194" spans="1:7">
      <c r="A194" s="3"/>
      <c r="B194" s="3"/>
      <c r="D194" s="3" t="s">
        <v>519</v>
      </c>
      <c r="E194" s="5" t="s">
        <v>520</v>
      </c>
      <c r="G194" s="4" t="s">
        <v>835</v>
      </c>
    </row>
    <row r="195" spans="1:7">
      <c r="A195" s="3">
        <v>3</v>
      </c>
      <c r="B195" s="5" t="s">
        <v>521</v>
      </c>
      <c r="D195" s="3"/>
    </row>
    <row r="196" spans="1:7">
      <c r="A196" s="3"/>
      <c r="B196" s="3">
        <v>3.1</v>
      </c>
      <c r="C196" s="4" t="s">
        <v>522</v>
      </c>
      <c r="D196" s="3"/>
    </row>
    <row r="197" spans="1:7">
      <c r="A197" s="3"/>
      <c r="B197" s="3"/>
      <c r="C197" s="4" t="s">
        <v>524</v>
      </c>
      <c r="D197" s="5" t="s">
        <v>525</v>
      </c>
      <c r="G197" s="4" t="s">
        <v>836</v>
      </c>
    </row>
    <row r="198" spans="1:7">
      <c r="A198" s="3"/>
      <c r="B198" s="3"/>
      <c r="C198" s="4" t="s">
        <v>527</v>
      </c>
      <c r="D198" s="5" t="s">
        <v>528</v>
      </c>
      <c r="G198" s="4" t="s">
        <v>837</v>
      </c>
    </row>
    <row r="199" spans="1:7">
      <c r="A199" s="3"/>
      <c r="B199" s="3"/>
      <c r="C199" s="4" t="s">
        <v>530</v>
      </c>
      <c r="D199" s="5" t="s">
        <v>531</v>
      </c>
      <c r="G199" s="4" t="s">
        <v>838</v>
      </c>
    </row>
    <row r="200" spans="1:7">
      <c r="A200" s="3"/>
      <c r="B200" s="3"/>
      <c r="C200" s="4" t="s">
        <v>533</v>
      </c>
      <c r="D200" s="5" t="s">
        <v>534</v>
      </c>
      <c r="G200" s="4" t="s">
        <v>535</v>
      </c>
    </row>
    <row r="201" spans="1:7">
      <c r="A201" s="3"/>
      <c r="B201" s="3"/>
      <c r="D201" s="4" t="s">
        <v>536</v>
      </c>
      <c r="E201" s="4" t="s">
        <v>537</v>
      </c>
      <c r="G201" s="4" t="s">
        <v>839</v>
      </c>
    </row>
    <row r="202" spans="1:7">
      <c r="A202" s="3"/>
      <c r="B202" s="3"/>
      <c r="D202" s="4" t="s">
        <v>539</v>
      </c>
      <c r="E202" s="4" t="s">
        <v>540</v>
      </c>
      <c r="G202" s="4" t="s">
        <v>840</v>
      </c>
    </row>
    <row r="203" spans="1:7">
      <c r="A203" s="3"/>
      <c r="B203" s="3"/>
      <c r="D203" s="4" t="s">
        <v>542</v>
      </c>
      <c r="E203" s="4" t="s">
        <v>543</v>
      </c>
      <c r="G203" s="4" t="s">
        <v>841</v>
      </c>
    </row>
    <row r="204" spans="1:7">
      <c r="A204" s="3"/>
      <c r="B204" s="3"/>
      <c r="D204" s="4" t="s">
        <v>545</v>
      </c>
      <c r="E204" s="4" t="s">
        <v>546</v>
      </c>
      <c r="G204" s="4" t="s">
        <v>842</v>
      </c>
    </row>
    <row r="205" spans="1:7">
      <c r="A205" s="3"/>
      <c r="B205" s="3"/>
      <c r="D205" s="4" t="s">
        <v>548</v>
      </c>
      <c r="E205" s="4" t="s">
        <v>549</v>
      </c>
      <c r="G205" s="4" t="s">
        <v>843</v>
      </c>
    </row>
    <row r="206" spans="1:7">
      <c r="A206" s="3"/>
      <c r="B206" s="3"/>
      <c r="C206" s="4" t="s">
        <v>551</v>
      </c>
      <c r="D206" s="5" t="s">
        <v>552</v>
      </c>
    </row>
    <row r="207" spans="1:7">
      <c r="A207" s="3"/>
      <c r="B207" s="3"/>
      <c r="D207" s="4" t="s">
        <v>554</v>
      </c>
      <c r="E207" s="4" t="s">
        <v>555</v>
      </c>
      <c r="G207" s="4" t="s">
        <v>844</v>
      </c>
    </row>
    <row r="208" spans="1:7">
      <c r="A208" s="3"/>
      <c r="B208" s="3"/>
      <c r="D208" s="4" t="s">
        <v>557</v>
      </c>
      <c r="E208" s="4" t="s">
        <v>558</v>
      </c>
      <c r="G208" s="4" t="s">
        <v>845</v>
      </c>
    </row>
    <row r="209" spans="1:7">
      <c r="A209" s="3"/>
      <c r="B209" s="3"/>
      <c r="C209" s="4" t="s">
        <v>560</v>
      </c>
      <c r="D209" s="5" t="s">
        <v>561</v>
      </c>
    </row>
    <row r="210" spans="1:7">
      <c r="A210" s="3"/>
      <c r="B210" s="3"/>
      <c r="D210" s="4" t="s">
        <v>563</v>
      </c>
      <c r="E210" s="4" t="s">
        <v>564</v>
      </c>
      <c r="G210" s="4" t="s">
        <v>846</v>
      </c>
    </row>
    <row r="211" spans="1:7">
      <c r="A211" s="3"/>
      <c r="B211" s="3"/>
      <c r="D211" s="4" t="s">
        <v>566</v>
      </c>
      <c r="E211" s="4" t="s">
        <v>567</v>
      </c>
      <c r="G211" s="4" t="s">
        <v>568</v>
      </c>
    </row>
    <row r="212" spans="1:7">
      <c r="A212" s="3"/>
      <c r="B212" s="3"/>
      <c r="D212" s="4" t="s">
        <v>569</v>
      </c>
      <c r="E212" s="4" t="s">
        <v>570</v>
      </c>
      <c r="G212" s="4" t="s">
        <v>847</v>
      </c>
    </row>
    <row r="213" spans="1:7">
      <c r="A213" s="3"/>
      <c r="B213" s="3"/>
      <c r="D213" s="4" t="s">
        <v>572</v>
      </c>
      <c r="E213" s="4" t="s">
        <v>573</v>
      </c>
      <c r="G213" s="4" t="s">
        <v>848</v>
      </c>
    </row>
    <row r="214" spans="1:7">
      <c r="A214" s="3"/>
      <c r="B214" s="3"/>
      <c r="D214" s="4" t="s">
        <v>575</v>
      </c>
      <c r="E214" s="4" t="s">
        <v>576</v>
      </c>
      <c r="G214" s="4" t="s">
        <v>849</v>
      </c>
    </row>
    <row r="215" spans="1:7">
      <c r="A215" s="3"/>
      <c r="B215" s="3">
        <v>3.2</v>
      </c>
      <c r="C215" s="4" t="s">
        <v>578</v>
      </c>
      <c r="D215" s="3"/>
    </row>
    <row r="216" spans="1:7">
      <c r="A216" s="3"/>
      <c r="B216" s="3"/>
      <c r="C216" s="3" t="s">
        <v>580</v>
      </c>
      <c r="D216" s="5" t="s">
        <v>581</v>
      </c>
      <c r="G216" s="4" t="s">
        <v>850</v>
      </c>
    </row>
    <row r="217" spans="1:7">
      <c r="A217" s="3"/>
      <c r="B217" s="3"/>
      <c r="C217" s="3" t="s">
        <v>583</v>
      </c>
      <c r="D217" s="5" t="s">
        <v>584</v>
      </c>
      <c r="G217" s="4" t="s">
        <v>851</v>
      </c>
    </row>
    <row r="218" spans="1:7">
      <c r="A218" s="3"/>
      <c r="B218" s="3"/>
      <c r="C218" s="3" t="s">
        <v>586</v>
      </c>
      <c r="D218" s="5" t="s">
        <v>587</v>
      </c>
      <c r="G218" s="4" t="s">
        <v>852</v>
      </c>
    </row>
    <row r="219" spans="1:7">
      <c r="A219" s="3"/>
      <c r="B219" s="3"/>
      <c r="C219" s="3" t="s">
        <v>589</v>
      </c>
      <c r="D219" s="4" t="s">
        <v>590</v>
      </c>
      <c r="G219" s="4" t="s">
        <v>853</v>
      </c>
    </row>
    <row r="220" spans="1:7">
      <c r="A220" s="3"/>
      <c r="B220" s="3"/>
      <c r="C220" s="3" t="s">
        <v>592</v>
      </c>
      <c r="D220" s="5" t="s">
        <v>593</v>
      </c>
      <c r="G220" s="4" t="s">
        <v>854</v>
      </c>
    </row>
    <row r="221" spans="1:7">
      <c r="A221" s="3"/>
      <c r="B221" s="3"/>
      <c r="C221" s="3" t="s">
        <v>595</v>
      </c>
      <c r="D221" s="5" t="s">
        <v>596</v>
      </c>
      <c r="G221" s="4" t="s">
        <v>855</v>
      </c>
    </row>
    <row r="222" spans="1:7">
      <c r="A222" s="3"/>
      <c r="B222" s="3"/>
      <c r="C222" s="3" t="s">
        <v>598</v>
      </c>
      <c r="D222" s="5" t="s">
        <v>599</v>
      </c>
      <c r="G222" s="4" t="s">
        <v>856</v>
      </c>
    </row>
    <row r="223" spans="1:7">
      <c r="A223" s="3"/>
      <c r="B223" s="3"/>
      <c r="D223" s="3" t="s">
        <v>601</v>
      </c>
      <c r="E223" s="4" t="s">
        <v>602</v>
      </c>
      <c r="G223" s="4" t="s">
        <v>603</v>
      </c>
    </row>
    <row r="224" spans="1:7">
      <c r="A224" s="3"/>
      <c r="B224" s="3"/>
      <c r="D224" s="3" t="s">
        <v>604</v>
      </c>
      <c r="E224" s="4" t="s">
        <v>605</v>
      </c>
      <c r="G224" s="4" t="s">
        <v>857</v>
      </c>
    </row>
    <row r="225" spans="1:7">
      <c r="A225" s="3"/>
      <c r="B225" s="3"/>
      <c r="D225" s="3" t="s">
        <v>607</v>
      </c>
      <c r="E225" s="4" t="s">
        <v>608</v>
      </c>
      <c r="G225" s="4" t="s">
        <v>858</v>
      </c>
    </row>
    <row r="226" spans="1:7">
      <c r="A226" s="3"/>
      <c r="B226" s="3">
        <v>3.3</v>
      </c>
      <c r="C226" s="4" t="s">
        <v>610</v>
      </c>
    </row>
    <row r="227" spans="1:7">
      <c r="A227" s="3"/>
      <c r="B227" s="3"/>
      <c r="C227" s="4" t="s">
        <v>612</v>
      </c>
      <c r="D227" s="4" t="s">
        <v>613</v>
      </c>
      <c r="G227" s="4" t="s">
        <v>614</v>
      </c>
    </row>
    <row r="228" spans="1:7">
      <c r="A228" s="3"/>
      <c r="B228" s="3"/>
      <c r="C228" s="4"/>
      <c r="D228" s="4" t="s">
        <v>615</v>
      </c>
      <c r="E228" s="4" t="s">
        <v>616</v>
      </c>
      <c r="G228" s="4" t="s">
        <v>859</v>
      </c>
    </row>
    <row r="229" spans="1:7">
      <c r="A229" s="3"/>
      <c r="B229" s="3"/>
      <c r="C229" s="4"/>
      <c r="D229" s="4" t="s">
        <v>618</v>
      </c>
      <c r="E229" s="4" t="s">
        <v>619</v>
      </c>
      <c r="G229" s="4" t="s">
        <v>860</v>
      </c>
    </row>
    <row r="230" spans="1:7">
      <c r="A230" s="3"/>
      <c r="B230" s="3"/>
      <c r="C230" s="4" t="s">
        <v>621</v>
      </c>
      <c r="D230" s="4" t="s">
        <v>622</v>
      </c>
      <c r="G230" s="4" t="s">
        <v>861</v>
      </c>
    </row>
    <row r="231" spans="1:7">
      <c r="A231" s="3"/>
      <c r="B231" s="3"/>
      <c r="C231" s="4" t="s">
        <v>624</v>
      </c>
      <c r="D231" s="4" t="s">
        <v>625</v>
      </c>
      <c r="G231" s="4" t="s">
        <v>862</v>
      </c>
    </row>
    <row r="232" spans="1:7">
      <c r="A232" s="3"/>
      <c r="B232" s="3"/>
      <c r="D232" s="4" t="s">
        <v>627</v>
      </c>
      <c r="E232" s="4" t="s">
        <v>628</v>
      </c>
    </row>
    <row r="233" spans="1:7">
      <c r="A233" s="3"/>
      <c r="B233" s="3"/>
      <c r="E233" s="3" t="s">
        <v>630</v>
      </c>
      <c r="F233" s="4" t="s">
        <v>631</v>
      </c>
      <c r="G233" s="4" t="s">
        <v>863</v>
      </c>
    </row>
    <row r="234" spans="1:7">
      <c r="A234" s="3"/>
      <c r="B234" s="3"/>
      <c r="E234" s="3" t="s">
        <v>633</v>
      </c>
      <c r="F234" s="4" t="s">
        <v>634</v>
      </c>
      <c r="G234" s="4" t="s">
        <v>864</v>
      </c>
    </row>
    <row r="235" spans="1:7">
      <c r="A235" s="3"/>
      <c r="D235" s="4" t="s">
        <v>636</v>
      </c>
      <c r="E235" s="4" t="s">
        <v>637</v>
      </c>
      <c r="G235" s="4" t="s">
        <v>865</v>
      </c>
    </row>
    <row r="236" spans="1:7">
      <c r="A236" s="3"/>
      <c r="E236" s="4" t="s">
        <v>866</v>
      </c>
      <c r="F236" s="4" t="s">
        <v>639</v>
      </c>
      <c r="G236" s="4" t="s">
        <v>867</v>
      </c>
    </row>
    <row r="237" spans="1:7">
      <c r="A237" s="3"/>
      <c r="B237" s="3">
        <v>3.4</v>
      </c>
      <c r="C237" s="4" t="s">
        <v>641</v>
      </c>
    </row>
    <row r="238" spans="1:7">
      <c r="A238" s="3"/>
      <c r="C238" s="4" t="s">
        <v>643</v>
      </c>
      <c r="D238" s="4" t="s">
        <v>644</v>
      </c>
      <c r="G238" s="4" t="s">
        <v>868</v>
      </c>
    </row>
    <row r="239" spans="1:7">
      <c r="A239" s="3"/>
      <c r="C239" s="4" t="s">
        <v>646</v>
      </c>
      <c r="D239" s="4" t="s">
        <v>647</v>
      </c>
      <c r="G239" s="4" t="s">
        <v>869</v>
      </c>
    </row>
    <row r="240" spans="1:7">
      <c r="A240" s="3"/>
      <c r="B240" s="3">
        <v>3.5</v>
      </c>
      <c r="C240" s="4" t="s">
        <v>649</v>
      </c>
    </row>
    <row r="241" spans="1:7">
      <c r="A241" s="3"/>
      <c r="C241" s="3" t="s">
        <v>651</v>
      </c>
      <c r="D241" s="4" t="s">
        <v>652</v>
      </c>
      <c r="G241" s="4" t="s">
        <v>870</v>
      </c>
    </row>
    <row r="242" spans="1:7">
      <c r="A242" s="3"/>
      <c r="C242" s="3" t="s">
        <v>654</v>
      </c>
      <c r="D242" s="5" t="s">
        <v>655</v>
      </c>
      <c r="G242" s="4" t="s">
        <v>871</v>
      </c>
    </row>
    <row r="243" spans="1:7">
      <c r="A243" s="3"/>
      <c r="C243" s="3" t="s">
        <v>658</v>
      </c>
      <c r="D243" s="5" t="s">
        <v>659</v>
      </c>
      <c r="G243" s="4" t="s">
        <v>872</v>
      </c>
    </row>
    <row r="244" spans="1:7">
      <c r="A244" s="3"/>
      <c r="D244" s="3" t="s">
        <v>661</v>
      </c>
      <c r="E244" s="4" t="s">
        <v>662</v>
      </c>
      <c r="G244" s="4" t="s">
        <v>873</v>
      </c>
    </row>
    <row r="245" spans="1:7">
      <c r="A245" s="3"/>
      <c r="D245" s="3" t="s">
        <v>664</v>
      </c>
      <c r="E245" s="4" t="s">
        <v>665</v>
      </c>
      <c r="G245" s="4" t="s">
        <v>874</v>
      </c>
    </row>
    <row r="246" spans="1:7">
      <c r="A246" s="3"/>
      <c r="D246" s="3" t="s">
        <v>666</v>
      </c>
      <c r="E246" s="4" t="s">
        <v>667</v>
      </c>
      <c r="G246" s="4" t="s">
        <v>875</v>
      </c>
    </row>
    <row r="247" spans="1:7">
      <c r="A247" s="3"/>
      <c r="D247" s="3" t="s">
        <v>669</v>
      </c>
      <c r="E247" s="4" t="s">
        <v>670</v>
      </c>
      <c r="G247" s="4" t="s">
        <v>876</v>
      </c>
    </row>
    <row r="248" spans="1:7">
      <c r="A248" s="3"/>
      <c r="B248" s="4">
        <v>3.6</v>
      </c>
      <c r="C248" s="4" t="s">
        <v>672</v>
      </c>
    </row>
    <row r="249" spans="1:7">
      <c r="A249" s="3"/>
      <c r="C249" s="4" t="s">
        <v>674</v>
      </c>
      <c r="D249" s="4" t="s">
        <v>675</v>
      </c>
    </row>
    <row r="250" spans="1:7">
      <c r="A250" s="3"/>
      <c r="D250" s="4" t="s">
        <v>677</v>
      </c>
      <c r="E250" s="4" t="s">
        <v>678</v>
      </c>
      <c r="G250" s="4" t="s">
        <v>877</v>
      </c>
    </row>
    <row r="251" spans="1:7">
      <c r="A251" s="3"/>
      <c r="D251" s="4" t="s">
        <v>680</v>
      </c>
      <c r="E251" s="4" t="s">
        <v>681</v>
      </c>
      <c r="G251" s="4" t="s">
        <v>878</v>
      </c>
    </row>
    <row r="252" spans="1:7">
      <c r="A252" s="3"/>
      <c r="C252" s="4" t="s">
        <v>683</v>
      </c>
      <c r="D252" s="4" t="s">
        <v>684</v>
      </c>
    </row>
    <row r="253" spans="1:7">
      <c r="A253" s="3"/>
      <c r="D253" s="4" t="s">
        <v>686</v>
      </c>
      <c r="E253" s="5" t="s">
        <v>687</v>
      </c>
      <c r="G253" s="4" t="s">
        <v>879</v>
      </c>
    </row>
    <row r="254" spans="1:7">
      <c r="A254" s="3"/>
      <c r="D254" s="4" t="s">
        <v>689</v>
      </c>
      <c r="E254" s="4" t="s">
        <v>690</v>
      </c>
      <c r="G254" s="4" t="s">
        <v>880</v>
      </c>
    </row>
    <row r="255" spans="1:7">
      <c r="A255" s="3"/>
      <c r="D255" s="4" t="s">
        <v>692</v>
      </c>
      <c r="E255" s="4" t="s">
        <v>693</v>
      </c>
      <c r="G255" s="4" t="s">
        <v>881</v>
      </c>
    </row>
    <row r="256" spans="1:7">
      <c r="A256" s="3"/>
      <c r="C256" s="4" t="s">
        <v>695</v>
      </c>
      <c r="D256" s="4" t="s">
        <v>696</v>
      </c>
    </row>
    <row r="257" spans="1:7">
      <c r="A257" s="3"/>
      <c r="D257" s="4" t="s">
        <v>698</v>
      </c>
      <c r="E257" s="5" t="s">
        <v>699</v>
      </c>
      <c r="G257" s="4" t="s">
        <v>882</v>
      </c>
    </row>
    <row r="258" spans="1:7">
      <c r="A258" s="3"/>
      <c r="D258" s="4" t="s">
        <v>701</v>
      </c>
      <c r="E258" s="4" t="s">
        <v>702</v>
      </c>
      <c r="G258" s="4" t="s">
        <v>883</v>
      </c>
    </row>
    <row r="259" spans="1:7">
      <c r="A259" s="3"/>
      <c r="D259" s="4" t="s">
        <v>704</v>
      </c>
      <c r="E259" s="4" t="s">
        <v>705</v>
      </c>
      <c r="G259" s="4" t="s">
        <v>884</v>
      </c>
    </row>
    <row r="260" spans="1:7">
      <c r="A260" s="3"/>
    </row>
    <row r="261" spans="1:7">
      <c r="A261" s="3"/>
    </row>
    <row r="262" spans="1:7">
      <c r="A262" s="3"/>
    </row>
    <row r="263" spans="1:7">
      <c r="A263" s="3"/>
    </row>
    <row r="264" spans="1:7">
      <c r="A264" s="3"/>
    </row>
    <row r="265" spans="1:7">
      <c r="A265" s="3"/>
    </row>
    <row r="266" spans="1:7">
      <c r="A266" s="3"/>
    </row>
    <row r="267" spans="1:7">
      <c r="A267" s="3"/>
    </row>
    <row r="268" spans="1:7">
      <c r="A268" s="3"/>
    </row>
    <row r="269" spans="1:7">
      <c r="A269" s="3"/>
    </row>
    <row r="270" spans="1:7">
      <c r="A270" s="3"/>
    </row>
    <row r="271" spans="1:7">
      <c r="A271" s="3"/>
    </row>
    <row r="272" spans="1:7">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row r="1014" spans="1:1">
      <c r="A1014" s="3"/>
    </row>
    <row r="1015" spans="1:1">
      <c r="A1015" s="3"/>
    </row>
    <row r="1016" spans="1:1">
      <c r="A1016" s="3"/>
    </row>
    <row r="1017" spans="1:1">
      <c r="A1017" s="3"/>
    </row>
    <row r="1018" spans="1:1">
      <c r="A1018" s="3"/>
    </row>
    <row r="1019" spans="1:1">
      <c r="A1019" s="3"/>
    </row>
    <row r="1020" spans="1:1">
      <c r="A1020" s="3"/>
    </row>
    <row r="1021" spans="1:1">
      <c r="A1021" s="3"/>
    </row>
    <row r="1022" spans="1:1">
      <c r="A1022" s="3"/>
    </row>
    <row r="1023" spans="1:1">
      <c r="A1023" s="3"/>
    </row>
    <row r="1024" spans="1:1">
      <c r="A1024" s="3"/>
    </row>
    <row r="1025" spans="1:1">
      <c r="A1025" s="3"/>
    </row>
    <row r="1026" spans="1:1">
      <c r="A1026" s="3"/>
    </row>
    <row r="1027" spans="1:1">
      <c r="A1027" s="3"/>
    </row>
    <row r="1028" spans="1:1">
      <c r="A1028" s="3"/>
    </row>
    <row r="1029" spans="1:1">
      <c r="A1029" s="3"/>
    </row>
    <row r="1030" spans="1:1">
      <c r="A1030" s="3"/>
    </row>
    <row r="1031" spans="1:1">
      <c r="A1031" s="3"/>
    </row>
    <row r="1032" spans="1:1">
      <c r="A1032" s="3"/>
    </row>
    <row r="1033" spans="1:1">
      <c r="A1033" s="3"/>
    </row>
    <row r="1034" spans="1:1">
      <c r="A1034" s="3"/>
    </row>
    <row r="1035" spans="1:1">
      <c r="A1035" s="3"/>
    </row>
    <row r="1036" spans="1:1">
      <c r="A1036" s="3"/>
    </row>
    <row r="1037" spans="1:1">
      <c r="A1037" s="3"/>
    </row>
    <row r="1038" spans="1:1">
      <c r="A1038" s="3"/>
    </row>
    <row r="1039" spans="1:1">
      <c r="A1039" s="3"/>
    </row>
    <row r="1040" spans="1:1">
      <c r="A1040" s="3"/>
    </row>
    <row r="1041" spans="1:1">
      <c r="A1041" s="3"/>
    </row>
    <row r="1042" spans="1:1">
      <c r="A1042" s="3"/>
    </row>
    <row r="1043" spans="1:1">
      <c r="A1043" s="3"/>
    </row>
    <row r="1044" spans="1:1">
      <c r="A1044" s="3"/>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E93C-A2B9-43ED-B746-CF5ED24EF02C}">
  <sheetPr>
    <outlinePr summaryBelow="0" summaryRight="0"/>
  </sheetPr>
  <dimension ref="A1:I1044"/>
  <sheetViews>
    <sheetView workbookViewId="0">
      <selection activeCell="G29" sqref="G29"/>
    </sheetView>
  </sheetViews>
  <sheetFormatPr defaultColWidth="12.6640625" defaultRowHeight="15.75" customHeight="1"/>
  <cols>
    <col min="2" max="2" width="4.44140625" customWidth="1"/>
    <col min="3" max="3" width="5.44140625" customWidth="1"/>
    <col min="4" max="4" width="7.6640625" customWidth="1"/>
    <col min="5" max="5" width="9.109375" customWidth="1"/>
    <col min="6" max="6" width="38.44140625" customWidth="1"/>
    <col min="7" max="7" width="48.6640625" customWidth="1"/>
    <col min="8" max="8" width="80.88671875" customWidth="1"/>
    <col min="9" max="9" width="15.33203125" bestFit="1" customWidth="1"/>
    <col min="10" max="10" width="15.109375" customWidth="1"/>
  </cols>
  <sheetData>
    <row r="1" spans="1:9">
      <c r="A1" s="54" t="s">
        <v>0</v>
      </c>
      <c r="B1" s="55"/>
      <c r="C1" s="55"/>
      <c r="D1" s="55"/>
      <c r="E1" s="55"/>
      <c r="F1" s="55"/>
      <c r="G1" s="1" t="s">
        <v>1</v>
      </c>
      <c r="H1" s="2" t="s">
        <v>2</v>
      </c>
      <c r="I1" s="10" t="s">
        <v>707</v>
      </c>
    </row>
    <row r="2" spans="1:9">
      <c r="A2" s="3">
        <v>1</v>
      </c>
      <c r="B2" s="4" t="s">
        <v>3</v>
      </c>
    </row>
    <row r="3" spans="1:9">
      <c r="A3" s="3"/>
      <c r="B3" s="3">
        <v>1.1000000000000001</v>
      </c>
      <c r="C3" s="4" t="s">
        <v>4</v>
      </c>
      <c r="G3" s="4" t="s">
        <v>713</v>
      </c>
    </row>
    <row r="4" spans="1:9">
      <c r="A4" s="3"/>
      <c r="B4" s="3"/>
      <c r="C4" s="4" t="s">
        <v>6</v>
      </c>
      <c r="D4" s="4" t="s">
        <v>7</v>
      </c>
      <c r="G4" s="4" t="s">
        <v>714</v>
      </c>
    </row>
    <row r="5" spans="1:9">
      <c r="A5" s="3"/>
      <c r="B5" s="3"/>
      <c r="C5" s="4" t="s">
        <v>9</v>
      </c>
      <c r="D5" s="4" t="s">
        <v>10</v>
      </c>
      <c r="G5" s="4" t="s">
        <v>715</v>
      </c>
    </row>
    <row r="6" spans="1:9">
      <c r="A6" s="3"/>
      <c r="B6" s="3">
        <v>1.2</v>
      </c>
      <c r="C6" s="4" t="s">
        <v>12</v>
      </c>
    </row>
    <row r="7" spans="1:9">
      <c r="A7" s="3"/>
      <c r="B7" s="3"/>
      <c r="C7" s="4" t="s">
        <v>13</v>
      </c>
      <c r="D7" s="4" t="s">
        <v>14</v>
      </c>
      <c r="G7" s="4" t="s">
        <v>716</v>
      </c>
    </row>
    <row r="8" spans="1:9">
      <c r="A8" s="3"/>
      <c r="B8" s="3"/>
      <c r="D8" s="3" t="s">
        <v>16</v>
      </c>
      <c r="E8" s="4" t="s">
        <v>17</v>
      </c>
      <c r="G8" s="4" t="s">
        <v>717</v>
      </c>
    </row>
    <row r="9" spans="1:9">
      <c r="A9" s="3"/>
      <c r="B9" s="3"/>
      <c r="C9" s="4"/>
      <c r="D9" s="3" t="s">
        <v>19</v>
      </c>
      <c r="E9" s="4" t="s">
        <v>20</v>
      </c>
      <c r="G9" s="4" t="s">
        <v>718</v>
      </c>
    </row>
    <row r="10" spans="1:9">
      <c r="A10" s="3"/>
      <c r="B10" s="3"/>
      <c r="C10" s="4" t="s">
        <v>22</v>
      </c>
      <c r="D10" s="4" t="s">
        <v>23</v>
      </c>
    </row>
    <row r="11" spans="1:9">
      <c r="A11" s="3"/>
      <c r="B11" s="3"/>
      <c r="D11" s="3" t="s">
        <v>25</v>
      </c>
      <c r="E11" s="4" t="s">
        <v>26</v>
      </c>
      <c r="G11" s="4" t="s">
        <v>719</v>
      </c>
    </row>
    <row r="12" spans="1:9">
      <c r="A12" s="3"/>
      <c r="B12" s="3"/>
      <c r="D12" s="3" t="s">
        <v>28</v>
      </c>
      <c r="E12" s="4" t="s">
        <v>29</v>
      </c>
      <c r="G12" s="4" t="s">
        <v>720</v>
      </c>
    </row>
    <row r="13" spans="1:9">
      <c r="A13" s="3"/>
      <c r="B13" s="3"/>
      <c r="D13" s="3" t="s">
        <v>31</v>
      </c>
      <c r="E13" s="4" t="s">
        <v>32</v>
      </c>
      <c r="G13" s="4" t="s">
        <v>721</v>
      </c>
    </row>
    <row r="14" spans="1:9">
      <c r="A14" s="3"/>
      <c r="B14" s="3"/>
      <c r="D14" s="3" t="s">
        <v>34</v>
      </c>
      <c r="E14" s="4" t="s">
        <v>35</v>
      </c>
      <c r="G14" s="4" t="s">
        <v>722</v>
      </c>
    </row>
    <row r="15" spans="1:9">
      <c r="A15" s="3"/>
      <c r="B15" s="3">
        <v>1.3</v>
      </c>
      <c r="C15" s="4" t="s">
        <v>37</v>
      </c>
    </row>
    <row r="16" spans="1:9">
      <c r="A16" s="3"/>
      <c r="B16" s="3"/>
      <c r="C16" s="4" t="s">
        <v>38</v>
      </c>
      <c r="D16" s="4" t="s">
        <v>39</v>
      </c>
    </row>
    <row r="17" spans="1:7">
      <c r="A17" s="3"/>
      <c r="B17" s="3"/>
      <c r="D17" s="3" t="s">
        <v>40</v>
      </c>
      <c r="E17" s="4" t="s">
        <v>41</v>
      </c>
      <c r="G17" s="4" t="s">
        <v>723</v>
      </c>
    </row>
    <row r="18" spans="1:7">
      <c r="A18" s="3"/>
      <c r="B18" s="3"/>
      <c r="D18" s="3" t="s">
        <v>43</v>
      </c>
      <c r="E18" s="4" t="s">
        <v>44</v>
      </c>
      <c r="G18" s="4" t="s">
        <v>724</v>
      </c>
    </row>
    <row r="19" spans="1:7">
      <c r="A19" s="3"/>
      <c r="B19" s="3"/>
      <c r="D19" s="3" t="s">
        <v>46</v>
      </c>
      <c r="E19" s="4" t="s">
        <v>47</v>
      </c>
      <c r="G19" s="4" t="s">
        <v>725</v>
      </c>
    </row>
    <row r="20" spans="1:7">
      <c r="A20" s="3"/>
      <c r="B20" s="3"/>
      <c r="D20" s="3" t="s">
        <v>49</v>
      </c>
      <c r="E20" s="4" t="s">
        <v>50</v>
      </c>
      <c r="G20" s="4" t="s">
        <v>726</v>
      </c>
    </row>
    <row r="21" spans="1:7">
      <c r="A21" s="3"/>
      <c r="B21" s="3"/>
      <c r="D21" s="3" t="s">
        <v>52</v>
      </c>
      <c r="E21" s="4" t="s">
        <v>53</v>
      </c>
      <c r="G21" s="4" t="s">
        <v>727</v>
      </c>
    </row>
    <row r="22" spans="1:7">
      <c r="A22" s="3"/>
      <c r="B22" s="3"/>
      <c r="D22" s="3" t="s">
        <v>55</v>
      </c>
      <c r="E22" s="4" t="s">
        <v>56</v>
      </c>
      <c r="G22" s="4" t="s">
        <v>728</v>
      </c>
    </row>
    <row r="23" spans="1:7">
      <c r="A23" s="3"/>
      <c r="B23" s="3"/>
      <c r="C23" s="4" t="s">
        <v>58</v>
      </c>
      <c r="D23" s="4" t="s">
        <v>59</v>
      </c>
    </row>
    <row r="24" spans="1:7">
      <c r="A24" s="3"/>
      <c r="B24" s="3"/>
      <c r="D24" s="3" t="s">
        <v>60</v>
      </c>
      <c r="E24" s="4" t="s">
        <v>61</v>
      </c>
      <c r="G24" s="4" t="s">
        <v>729</v>
      </c>
    </row>
    <row r="25" spans="1:7">
      <c r="A25" s="3"/>
      <c r="B25" s="3"/>
      <c r="D25" s="3" t="s">
        <v>63</v>
      </c>
      <c r="E25" s="4" t="s">
        <v>64</v>
      </c>
      <c r="G25" s="4" t="s">
        <v>730</v>
      </c>
    </row>
    <row r="26" spans="1:7">
      <c r="A26" s="3"/>
      <c r="B26" s="3"/>
      <c r="D26" s="3"/>
      <c r="E26" s="3" t="s">
        <v>66</v>
      </c>
      <c r="F26" s="4" t="s">
        <v>67</v>
      </c>
      <c r="G26" s="4" t="s">
        <v>731</v>
      </c>
    </row>
    <row r="27" spans="1:7">
      <c r="A27" s="3"/>
      <c r="B27" s="3"/>
      <c r="D27" s="3"/>
      <c r="E27" s="3" t="s">
        <v>69</v>
      </c>
      <c r="F27" s="4" t="s">
        <v>70</v>
      </c>
      <c r="G27" s="4" t="s">
        <v>732</v>
      </c>
    </row>
    <row r="28" spans="1:7">
      <c r="A28" s="3"/>
      <c r="B28" s="3"/>
      <c r="D28" s="3" t="s">
        <v>72</v>
      </c>
      <c r="E28" s="4" t="s">
        <v>73</v>
      </c>
      <c r="G28" s="4" t="s">
        <v>74</v>
      </c>
    </row>
    <row r="29" spans="1:7">
      <c r="A29" s="3"/>
      <c r="B29" s="3"/>
      <c r="C29" s="4"/>
      <c r="D29" s="4"/>
      <c r="E29" s="3" t="s">
        <v>75</v>
      </c>
      <c r="F29" s="4" t="s">
        <v>76</v>
      </c>
      <c r="G29" s="4" t="s">
        <v>77</v>
      </c>
    </row>
    <row r="30" spans="1:7">
      <c r="A30" s="3"/>
      <c r="B30" s="3"/>
      <c r="C30" s="4"/>
      <c r="D30" s="4"/>
      <c r="E30" s="3" t="s">
        <v>78</v>
      </c>
      <c r="F30" s="4" t="s">
        <v>79</v>
      </c>
      <c r="G30" s="4" t="s">
        <v>733</v>
      </c>
    </row>
    <row r="31" spans="1:7">
      <c r="A31" s="3"/>
      <c r="B31" s="3"/>
      <c r="C31" s="4" t="s">
        <v>81</v>
      </c>
      <c r="D31" s="4" t="s">
        <v>82</v>
      </c>
    </row>
    <row r="32" spans="1:7">
      <c r="A32" s="3"/>
      <c r="B32" s="3"/>
      <c r="D32" s="3" t="s">
        <v>83</v>
      </c>
      <c r="E32" s="4" t="s">
        <v>84</v>
      </c>
      <c r="G32" s="4" t="s">
        <v>734</v>
      </c>
    </row>
    <row r="33" spans="1:7">
      <c r="A33" s="3"/>
      <c r="B33" s="3"/>
      <c r="D33" s="3" t="s">
        <v>86</v>
      </c>
      <c r="E33" s="4" t="s">
        <v>87</v>
      </c>
      <c r="G33" s="4" t="s">
        <v>735</v>
      </c>
    </row>
    <row r="34" spans="1:7">
      <c r="A34" s="3"/>
      <c r="B34" s="3"/>
      <c r="D34" s="3" t="s">
        <v>89</v>
      </c>
      <c r="E34" s="4" t="s">
        <v>90</v>
      </c>
      <c r="G34" s="4" t="s">
        <v>736</v>
      </c>
    </row>
    <row r="35" spans="1:7">
      <c r="A35" s="3"/>
      <c r="B35" s="3"/>
      <c r="D35" s="3" t="s">
        <v>92</v>
      </c>
      <c r="E35" s="4" t="s">
        <v>93</v>
      </c>
      <c r="G35" s="4" t="s">
        <v>737</v>
      </c>
    </row>
    <row r="36" spans="1:7">
      <c r="A36" s="3"/>
      <c r="B36" s="3"/>
      <c r="D36" s="3" t="s">
        <v>95</v>
      </c>
      <c r="E36" s="4" t="s">
        <v>96</v>
      </c>
      <c r="G36" s="4" t="s">
        <v>738</v>
      </c>
    </row>
    <row r="37" spans="1:7">
      <c r="A37" s="3"/>
      <c r="B37" s="3"/>
      <c r="D37" s="3" t="s">
        <v>98</v>
      </c>
      <c r="E37" s="4" t="s">
        <v>99</v>
      </c>
      <c r="G37" s="4" t="s">
        <v>739</v>
      </c>
    </row>
    <row r="38" spans="1:7">
      <c r="A38" s="3"/>
      <c r="B38" s="3">
        <v>1.4</v>
      </c>
      <c r="C38" s="4" t="s">
        <v>101</v>
      </c>
    </row>
    <row r="39" spans="1:7">
      <c r="A39" s="3"/>
      <c r="B39" s="3"/>
      <c r="C39" s="4" t="s">
        <v>102</v>
      </c>
      <c r="D39" s="4" t="s">
        <v>103</v>
      </c>
    </row>
    <row r="40" spans="1:7">
      <c r="A40" s="3"/>
      <c r="B40" s="3"/>
      <c r="D40" s="3" t="s">
        <v>105</v>
      </c>
      <c r="E40" s="4" t="s">
        <v>106</v>
      </c>
      <c r="G40" s="4" t="s">
        <v>740</v>
      </c>
    </row>
    <row r="41" spans="1:7">
      <c r="A41" s="3"/>
      <c r="B41" s="3"/>
      <c r="D41" s="3" t="s">
        <v>108</v>
      </c>
      <c r="E41" s="4" t="s">
        <v>109</v>
      </c>
      <c r="G41" s="4" t="s">
        <v>741</v>
      </c>
    </row>
    <row r="42" spans="1:7">
      <c r="A42" s="3"/>
      <c r="B42" s="3"/>
      <c r="C42" s="4" t="s">
        <v>111</v>
      </c>
      <c r="D42" s="4" t="s">
        <v>112</v>
      </c>
    </row>
    <row r="43" spans="1:7">
      <c r="A43" s="3"/>
      <c r="B43" s="3"/>
      <c r="D43" s="3" t="s">
        <v>114</v>
      </c>
      <c r="E43" s="4" t="s">
        <v>115</v>
      </c>
      <c r="G43" s="4" t="s">
        <v>742</v>
      </c>
    </row>
    <row r="44" spans="1:7">
      <c r="A44" s="3"/>
      <c r="B44" s="3"/>
      <c r="D44" s="3" t="s">
        <v>117</v>
      </c>
      <c r="E44" s="4" t="s">
        <v>118</v>
      </c>
      <c r="G44" s="4" t="s">
        <v>743</v>
      </c>
    </row>
    <row r="45" spans="1:7">
      <c r="A45" s="3"/>
      <c r="B45" s="3"/>
      <c r="D45" s="3" t="s">
        <v>120</v>
      </c>
      <c r="E45" s="4" t="s">
        <v>121</v>
      </c>
      <c r="G45" s="4" t="s">
        <v>744</v>
      </c>
    </row>
    <row r="46" spans="1:7">
      <c r="A46" s="3"/>
      <c r="B46" s="3">
        <v>1.5</v>
      </c>
      <c r="C46" s="4" t="s">
        <v>123</v>
      </c>
      <c r="D46" s="3"/>
    </row>
    <row r="47" spans="1:7">
      <c r="A47" s="3"/>
      <c r="B47" s="3"/>
      <c r="C47" s="4" t="s">
        <v>124</v>
      </c>
      <c r="D47" s="3" t="s">
        <v>125</v>
      </c>
    </row>
    <row r="48" spans="1:7">
      <c r="A48" s="3"/>
      <c r="B48" s="3"/>
      <c r="D48" s="3" t="s">
        <v>127</v>
      </c>
      <c r="E48" s="4" t="s">
        <v>128</v>
      </c>
      <c r="G48" s="4" t="s">
        <v>745</v>
      </c>
    </row>
    <row r="49" spans="1:8">
      <c r="A49" s="3"/>
      <c r="B49" s="3"/>
      <c r="D49" s="3" t="s">
        <v>130</v>
      </c>
      <c r="E49" s="4" t="s">
        <v>131</v>
      </c>
      <c r="G49" s="4" t="s">
        <v>746</v>
      </c>
    </row>
    <row r="50" spans="1:8">
      <c r="A50" s="3"/>
      <c r="B50" s="3"/>
      <c r="D50" s="3" t="s">
        <v>133</v>
      </c>
      <c r="E50" s="4" t="s">
        <v>134</v>
      </c>
      <c r="G50" s="4" t="s">
        <v>747</v>
      </c>
    </row>
    <row r="51" spans="1:8">
      <c r="A51" s="3"/>
      <c r="B51" s="3"/>
      <c r="C51" s="4" t="s">
        <v>136</v>
      </c>
      <c r="D51" s="5" t="s">
        <v>137</v>
      </c>
    </row>
    <row r="52" spans="1:8">
      <c r="A52" s="3"/>
      <c r="D52" s="3" t="s">
        <v>139</v>
      </c>
      <c r="E52" s="4" t="s">
        <v>140</v>
      </c>
      <c r="G52" s="4" t="s">
        <v>748</v>
      </c>
    </row>
    <row r="53" spans="1:8">
      <c r="A53" s="3"/>
      <c r="C53" s="4" t="s">
        <v>142</v>
      </c>
      <c r="D53" s="5" t="s">
        <v>143</v>
      </c>
    </row>
    <row r="54" spans="1:8">
      <c r="A54" s="3"/>
      <c r="D54" s="3" t="s">
        <v>145</v>
      </c>
      <c r="E54" s="4" t="s">
        <v>146</v>
      </c>
      <c r="G54" s="4" t="s">
        <v>749</v>
      </c>
    </row>
    <row r="55" spans="1:8">
      <c r="A55" s="3"/>
      <c r="C55" s="4" t="s">
        <v>148</v>
      </c>
      <c r="D55" s="3" t="s">
        <v>149</v>
      </c>
    </row>
    <row r="56" spans="1:8">
      <c r="A56" s="3"/>
      <c r="D56" s="3" t="s">
        <v>151</v>
      </c>
      <c r="E56" s="4" t="s">
        <v>152</v>
      </c>
      <c r="G56" s="4" t="s">
        <v>750</v>
      </c>
    </row>
    <row r="57" spans="1:8">
      <c r="A57" s="3"/>
      <c r="D57" s="3" t="s">
        <v>154</v>
      </c>
      <c r="E57" s="4" t="s">
        <v>155</v>
      </c>
      <c r="G57" s="4" t="s">
        <v>751</v>
      </c>
    </row>
    <row r="58" spans="1:8">
      <c r="A58" s="3"/>
      <c r="C58" s="6" t="s">
        <v>157</v>
      </c>
      <c r="D58" s="7" t="s">
        <v>158</v>
      </c>
      <c r="E58" s="6"/>
      <c r="F58" s="6"/>
      <c r="G58" s="6"/>
      <c r="H58" s="6"/>
    </row>
    <row r="59" spans="1:8">
      <c r="A59" s="3"/>
      <c r="D59" s="3" t="s">
        <v>160</v>
      </c>
      <c r="E59" s="4" t="s">
        <v>161</v>
      </c>
      <c r="G59" s="4" t="s">
        <v>752</v>
      </c>
    </row>
    <row r="60" spans="1:8">
      <c r="A60" s="3"/>
      <c r="D60" s="3" t="s">
        <v>163</v>
      </c>
      <c r="E60" s="4" t="s">
        <v>164</v>
      </c>
      <c r="G60" s="4" t="s">
        <v>753</v>
      </c>
    </row>
    <row r="61" spans="1:8">
      <c r="A61" s="3"/>
      <c r="B61" s="4">
        <v>1.6</v>
      </c>
      <c r="C61" s="4" t="s">
        <v>166</v>
      </c>
      <c r="D61" s="3"/>
    </row>
    <row r="62" spans="1:8">
      <c r="A62" s="3"/>
      <c r="C62" s="4" t="s">
        <v>167</v>
      </c>
      <c r="D62" s="4" t="s">
        <v>168</v>
      </c>
    </row>
    <row r="63" spans="1:8">
      <c r="A63" s="3"/>
      <c r="D63" s="3" t="s">
        <v>169</v>
      </c>
      <c r="E63" s="4" t="s">
        <v>170</v>
      </c>
      <c r="G63" s="4" t="s">
        <v>754</v>
      </c>
    </row>
    <row r="64" spans="1:8">
      <c r="A64" s="3"/>
      <c r="D64" s="3" t="s">
        <v>172</v>
      </c>
      <c r="E64" s="4" t="s">
        <v>173</v>
      </c>
      <c r="G64" s="4" t="s">
        <v>755</v>
      </c>
    </row>
    <row r="65" spans="1:7">
      <c r="A65" s="3"/>
      <c r="D65" s="3" t="s">
        <v>175</v>
      </c>
      <c r="E65" s="4" t="s">
        <v>176</v>
      </c>
      <c r="G65" s="4" t="s">
        <v>756</v>
      </c>
    </row>
    <row r="66" spans="1:7">
      <c r="A66" s="3"/>
      <c r="D66" s="3" t="s">
        <v>178</v>
      </c>
      <c r="E66" s="4" t="s">
        <v>179</v>
      </c>
      <c r="G66" s="4" t="s">
        <v>757</v>
      </c>
    </row>
    <row r="67" spans="1:7">
      <c r="A67" s="3"/>
      <c r="B67" s="4">
        <v>1.7</v>
      </c>
      <c r="C67" s="4" t="s">
        <v>181</v>
      </c>
    </row>
    <row r="68" spans="1:7">
      <c r="A68" s="3"/>
      <c r="C68" s="4" t="s">
        <v>182</v>
      </c>
      <c r="D68" s="4" t="s">
        <v>183</v>
      </c>
    </row>
    <row r="69" spans="1:7">
      <c r="A69" s="3"/>
      <c r="D69" s="3" t="s">
        <v>185</v>
      </c>
      <c r="E69" s="4" t="s">
        <v>186</v>
      </c>
      <c r="G69" s="4" t="s">
        <v>758</v>
      </c>
    </row>
    <row r="70" spans="1:7">
      <c r="A70" s="3"/>
      <c r="C70" s="4" t="s">
        <v>188</v>
      </c>
      <c r="D70" s="4" t="s">
        <v>189</v>
      </c>
    </row>
    <row r="71" spans="1:7">
      <c r="A71" s="3"/>
      <c r="D71" s="3" t="s">
        <v>191</v>
      </c>
      <c r="E71" s="4" t="s">
        <v>192</v>
      </c>
      <c r="G71" s="4" t="s">
        <v>759</v>
      </c>
    </row>
    <row r="72" spans="1:7">
      <c r="A72" s="3"/>
      <c r="C72" s="4" t="s">
        <v>194</v>
      </c>
      <c r="D72" s="4" t="s">
        <v>195</v>
      </c>
    </row>
    <row r="73" spans="1:7">
      <c r="A73" s="3"/>
      <c r="D73" s="3" t="s">
        <v>197</v>
      </c>
      <c r="E73" s="4" t="s">
        <v>198</v>
      </c>
      <c r="G73" s="4" t="s">
        <v>760</v>
      </c>
    </row>
    <row r="74" spans="1:7">
      <c r="A74" s="3"/>
      <c r="D74" s="3" t="s">
        <v>200</v>
      </c>
      <c r="E74" s="4" t="s">
        <v>201</v>
      </c>
      <c r="G74" s="4" t="s">
        <v>761</v>
      </c>
    </row>
    <row r="75" spans="1:7">
      <c r="A75" s="3">
        <v>2</v>
      </c>
      <c r="B75" s="4" t="s">
        <v>203</v>
      </c>
    </row>
    <row r="76" spans="1:7">
      <c r="A76" s="3"/>
      <c r="B76" s="3">
        <v>2.1</v>
      </c>
      <c r="C76" s="4" t="s">
        <v>204</v>
      </c>
    </row>
    <row r="77" spans="1:7">
      <c r="A77" s="3"/>
      <c r="B77" s="3"/>
      <c r="C77" s="4" t="s">
        <v>205</v>
      </c>
      <c r="D77" s="4" t="s">
        <v>206</v>
      </c>
      <c r="G77" s="4" t="s">
        <v>762</v>
      </c>
    </row>
    <row r="78" spans="1:7">
      <c r="A78" s="3"/>
      <c r="B78" s="3"/>
      <c r="D78" s="3" t="s">
        <v>208</v>
      </c>
      <c r="E78" s="5" t="s">
        <v>209</v>
      </c>
      <c r="G78" s="4" t="s">
        <v>763</v>
      </c>
    </row>
    <row r="79" spans="1:7">
      <c r="A79" s="3"/>
      <c r="B79" s="3"/>
      <c r="D79" s="3" t="s">
        <v>210</v>
      </c>
      <c r="E79" s="5" t="s">
        <v>211</v>
      </c>
      <c r="G79" s="4" t="s">
        <v>74</v>
      </c>
    </row>
    <row r="80" spans="1:7">
      <c r="A80" s="3"/>
      <c r="B80" s="3"/>
      <c r="C80" s="4" t="s">
        <v>212</v>
      </c>
      <c r="D80" s="4" t="s">
        <v>213</v>
      </c>
      <c r="E80" s="3"/>
    </row>
    <row r="81" spans="1:7">
      <c r="A81" s="3"/>
      <c r="B81" s="3"/>
      <c r="D81" s="3" t="s">
        <v>214</v>
      </c>
      <c r="E81" s="5" t="s">
        <v>215</v>
      </c>
      <c r="G81" s="4" t="s">
        <v>764</v>
      </c>
    </row>
    <row r="82" spans="1:7">
      <c r="A82" s="3"/>
      <c r="B82" s="3"/>
      <c r="D82" s="3" t="s">
        <v>217</v>
      </c>
      <c r="E82" s="5" t="s">
        <v>218</v>
      </c>
      <c r="G82" s="4" t="s">
        <v>765</v>
      </c>
    </row>
    <row r="83" spans="1:7">
      <c r="A83" s="3"/>
      <c r="B83" s="3"/>
      <c r="D83" s="3" t="s">
        <v>220</v>
      </c>
      <c r="E83" s="5" t="s">
        <v>221</v>
      </c>
      <c r="G83" s="4" t="s">
        <v>766</v>
      </c>
    </row>
    <row r="84" spans="1:7">
      <c r="A84" s="3"/>
      <c r="B84" s="3"/>
      <c r="D84" s="3" t="s">
        <v>223</v>
      </c>
      <c r="E84" s="5" t="s">
        <v>224</v>
      </c>
      <c r="G84" s="4" t="s">
        <v>767</v>
      </c>
    </row>
    <row r="85" spans="1:7">
      <c r="A85" s="3"/>
      <c r="B85" s="3"/>
      <c r="C85" s="4" t="s">
        <v>226</v>
      </c>
      <c r="D85" s="5" t="s">
        <v>227</v>
      </c>
      <c r="E85" s="3"/>
    </row>
    <row r="86" spans="1:7">
      <c r="A86" s="3"/>
      <c r="B86" s="3"/>
      <c r="D86" s="3" t="s">
        <v>228</v>
      </c>
      <c r="E86" s="5" t="s">
        <v>14</v>
      </c>
    </row>
    <row r="87" spans="1:7">
      <c r="A87" s="3"/>
      <c r="B87" s="3"/>
      <c r="E87" s="3" t="s">
        <v>229</v>
      </c>
      <c r="F87" s="5" t="s">
        <v>230</v>
      </c>
      <c r="G87" s="4" t="s">
        <v>768</v>
      </c>
    </row>
    <row r="88" spans="1:7">
      <c r="A88" s="3"/>
      <c r="B88" s="3"/>
      <c r="D88" s="3"/>
      <c r="E88" s="3" t="s">
        <v>232</v>
      </c>
      <c r="F88" s="5" t="s">
        <v>233</v>
      </c>
      <c r="G88" s="4" t="s">
        <v>769</v>
      </c>
    </row>
    <row r="89" spans="1:7">
      <c r="A89" s="3"/>
      <c r="B89" s="3"/>
      <c r="D89" s="3"/>
      <c r="E89" s="3" t="s">
        <v>235</v>
      </c>
      <c r="F89" s="5" t="s">
        <v>236</v>
      </c>
      <c r="G89" s="4" t="s">
        <v>770</v>
      </c>
    </row>
    <row r="90" spans="1:7">
      <c r="A90" s="3"/>
      <c r="B90" s="3"/>
      <c r="D90" s="3" t="s">
        <v>238</v>
      </c>
      <c r="E90" s="5" t="s">
        <v>239</v>
      </c>
    </row>
    <row r="91" spans="1:7">
      <c r="A91" s="3"/>
      <c r="B91" s="3"/>
      <c r="D91" s="3"/>
      <c r="E91" s="3" t="s">
        <v>240</v>
      </c>
      <c r="F91" s="4" t="s">
        <v>241</v>
      </c>
      <c r="G91" s="4" t="s">
        <v>771</v>
      </c>
    </row>
    <row r="92" spans="1:7">
      <c r="A92" s="3"/>
      <c r="B92" s="3"/>
      <c r="D92" s="3"/>
      <c r="E92" s="3" t="s">
        <v>243</v>
      </c>
      <c r="F92" s="4" t="s">
        <v>244</v>
      </c>
      <c r="G92" s="4" t="s">
        <v>772</v>
      </c>
    </row>
    <row r="93" spans="1:7">
      <c r="A93" s="3"/>
      <c r="B93" s="3">
        <v>2.2000000000000002</v>
      </c>
      <c r="C93" s="4" t="s">
        <v>246</v>
      </c>
      <c r="D93" s="3"/>
      <c r="E93" s="3"/>
    </row>
    <row r="94" spans="1:7">
      <c r="A94" s="3"/>
      <c r="B94" s="3"/>
      <c r="C94" s="4" t="s">
        <v>247</v>
      </c>
      <c r="D94" s="5" t="s">
        <v>248</v>
      </c>
      <c r="E94" s="3"/>
    </row>
    <row r="95" spans="1:7">
      <c r="A95" s="3"/>
      <c r="B95" s="3"/>
      <c r="D95" s="3" t="s">
        <v>249</v>
      </c>
      <c r="E95" s="5" t="s">
        <v>250</v>
      </c>
      <c r="G95" s="4" t="s">
        <v>773</v>
      </c>
    </row>
    <row r="96" spans="1:7">
      <c r="A96" s="3"/>
      <c r="B96" s="3"/>
      <c r="D96" s="3" t="s">
        <v>252</v>
      </c>
      <c r="E96" s="5" t="s">
        <v>253</v>
      </c>
      <c r="G96" s="4" t="s">
        <v>774</v>
      </c>
    </row>
    <row r="97" spans="1:7">
      <c r="A97" s="3"/>
      <c r="B97" s="3"/>
      <c r="C97" s="4" t="s">
        <v>255</v>
      </c>
      <c r="D97" s="5" t="s">
        <v>256</v>
      </c>
    </row>
    <row r="98" spans="1:7">
      <c r="A98" s="3"/>
      <c r="B98" s="3"/>
      <c r="D98" s="3" t="s">
        <v>257</v>
      </c>
      <c r="E98" s="4" t="s">
        <v>258</v>
      </c>
      <c r="G98" s="4" t="s">
        <v>259</v>
      </c>
    </row>
    <row r="99" spans="1:7">
      <c r="A99" s="3"/>
      <c r="B99" s="3"/>
      <c r="D99" s="3" t="s">
        <v>260</v>
      </c>
      <c r="E99" s="4" t="s">
        <v>261</v>
      </c>
      <c r="G99" s="4" t="s">
        <v>775</v>
      </c>
    </row>
    <row r="100" spans="1:7">
      <c r="A100" s="3"/>
      <c r="B100" s="3"/>
      <c r="D100" s="3" t="s">
        <v>262</v>
      </c>
      <c r="E100" s="4" t="s">
        <v>263</v>
      </c>
      <c r="G100" s="4" t="s">
        <v>776</v>
      </c>
    </row>
    <row r="101" spans="1:7">
      <c r="A101" s="3"/>
      <c r="B101" s="3"/>
      <c r="C101" s="4" t="s">
        <v>265</v>
      </c>
      <c r="D101" s="5" t="s">
        <v>266</v>
      </c>
    </row>
    <row r="102" spans="1:7">
      <c r="A102" s="3"/>
      <c r="B102" s="3"/>
      <c r="D102" s="3" t="s">
        <v>267</v>
      </c>
      <c r="E102" s="5" t="s">
        <v>268</v>
      </c>
    </row>
    <row r="103" spans="1:7">
      <c r="A103" s="3"/>
      <c r="B103" s="3"/>
      <c r="D103" s="3"/>
      <c r="E103" s="4" t="s">
        <v>269</v>
      </c>
      <c r="F103" s="4" t="s">
        <v>270</v>
      </c>
      <c r="G103" s="4" t="s">
        <v>777</v>
      </c>
    </row>
    <row r="104" spans="1:7">
      <c r="A104" s="3"/>
      <c r="B104" s="3"/>
      <c r="D104" s="3"/>
      <c r="E104" s="4" t="s">
        <v>272</v>
      </c>
      <c r="F104" s="4" t="s">
        <v>273</v>
      </c>
      <c r="G104" s="4" t="s">
        <v>778</v>
      </c>
    </row>
    <row r="105" spans="1:7">
      <c r="A105" s="3"/>
      <c r="B105" s="3"/>
      <c r="D105" s="3"/>
      <c r="E105" s="4" t="s">
        <v>275</v>
      </c>
      <c r="F105" s="4" t="s">
        <v>276</v>
      </c>
      <c r="G105" s="4" t="s">
        <v>779</v>
      </c>
    </row>
    <row r="106" spans="1:7">
      <c r="A106" s="3"/>
      <c r="B106" s="3"/>
      <c r="D106" s="3"/>
      <c r="E106" s="4" t="s">
        <v>278</v>
      </c>
      <c r="F106" s="4" t="s">
        <v>279</v>
      </c>
      <c r="G106" s="4" t="s">
        <v>780</v>
      </c>
    </row>
    <row r="107" spans="1:7">
      <c r="A107" s="3"/>
      <c r="B107" s="3"/>
      <c r="D107" s="3" t="s">
        <v>281</v>
      </c>
      <c r="E107" s="5" t="s">
        <v>282</v>
      </c>
    </row>
    <row r="108" spans="1:7">
      <c r="A108" s="3"/>
      <c r="B108" s="3"/>
      <c r="D108" s="3"/>
      <c r="E108" s="3" t="s">
        <v>283</v>
      </c>
      <c r="F108" s="4" t="s">
        <v>284</v>
      </c>
      <c r="G108" s="4" t="s">
        <v>781</v>
      </c>
    </row>
    <row r="109" spans="1:7">
      <c r="A109" s="3"/>
      <c r="B109" s="3"/>
      <c r="D109" s="3"/>
      <c r="E109" s="3" t="s">
        <v>286</v>
      </c>
      <c r="F109" s="4" t="s">
        <v>287</v>
      </c>
      <c r="G109" s="4" t="s">
        <v>782</v>
      </c>
    </row>
    <row r="110" spans="1:7">
      <c r="A110" s="3"/>
      <c r="B110" s="3"/>
      <c r="D110" s="3"/>
      <c r="E110" s="3" t="s">
        <v>289</v>
      </c>
      <c r="F110" s="4" t="s">
        <v>290</v>
      </c>
      <c r="G110" s="4" t="s">
        <v>783</v>
      </c>
    </row>
    <row r="111" spans="1:7">
      <c r="A111" s="3"/>
      <c r="B111" s="3"/>
      <c r="D111" s="3"/>
      <c r="E111" s="3" t="s">
        <v>292</v>
      </c>
      <c r="F111" s="4" t="s">
        <v>293</v>
      </c>
      <c r="G111" s="4" t="s">
        <v>784</v>
      </c>
    </row>
    <row r="112" spans="1:7">
      <c r="A112" s="3"/>
      <c r="B112" s="3"/>
      <c r="D112" s="3"/>
      <c r="E112" s="3" t="s">
        <v>295</v>
      </c>
      <c r="F112" s="4" t="s">
        <v>296</v>
      </c>
      <c r="G112" s="4" t="s">
        <v>785</v>
      </c>
    </row>
    <row r="113" spans="1:7">
      <c r="A113" s="3"/>
      <c r="B113" s="3"/>
      <c r="D113" s="3"/>
      <c r="E113" s="3" t="s">
        <v>298</v>
      </c>
      <c r="F113" s="4" t="s">
        <v>299</v>
      </c>
      <c r="G113" s="4" t="s">
        <v>786</v>
      </c>
    </row>
    <row r="114" spans="1:7">
      <c r="A114" s="3"/>
      <c r="B114" s="3">
        <v>2.2999999999999998</v>
      </c>
      <c r="C114" s="4" t="s">
        <v>301</v>
      </c>
      <c r="D114" s="3"/>
      <c r="E114" s="3"/>
    </row>
    <row r="115" spans="1:7">
      <c r="A115" s="3"/>
      <c r="B115" s="3"/>
      <c r="C115" s="4" t="s">
        <v>302</v>
      </c>
      <c r="D115" s="5" t="s">
        <v>303</v>
      </c>
    </row>
    <row r="116" spans="1:7">
      <c r="A116" s="3"/>
      <c r="B116" s="3"/>
      <c r="D116" s="3" t="s">
        <v>304</v>
      </c>
      <c r="E116" s="4" t="s">
        <v>305</v>
      </c>
      <c r="G116" s="4" t="s">
        <v>787</v>
      </c>
    </row>
    <row r="117" spans="1:7">
      <c r="A117" s="3"/>
      <c r="B117" s="3"/>
      <c r="D117" s="3" t="s">
        <v>307</v>
      </c>
      <c r="E117" s="4" t="s">
        <v>308</v>
      </c>
    </row>
    <row r="118" spans="1:7">
      <c r="A118" s="3"/>
      <c r="B118" s="3"/>
      <c r="D118" s="3"/>
      <c r="E118" s="3" t="s">
        <v>309</v>
      </c>
      <c r="F118" s="4" t="s">
        <v>310</v>
      </c>
      <c r="G118" s="4" t="s">
        <v>788</v>
      </c>
    </row>
    <row r="119" spans="1:7">
      <c r="A119" s="3"/>
      <c r="B119" s="3"/>
      <c r="D119" s="3"/>
      <c r="E119" s="3" t="s">
        <v>312</v>
      </c>
      <c r="F119" s="4" t="s">
        <v>313</v>
      </c>
      <c r="G119" s="4" t="s">
        <v>789</v>
      </c>
    </row>
    <row r="120" spans="1:7">
      <c r="A120" s="3"/>
      <c r="B120" s="3"/>
      <c r="D120" s="3"/>
      <c r="E120" s="3" t="s">
        <v>315</v>
      </c>
      <c r="F120" s="4" t="s">
        <v>316</v>
      </c>
      <c r="G120" s="4" t="s">
        <v>790</v>
      </c>
    </row>
    <row r="121" spans="1:7">
      <c r="A121" s="3"/>
      <c r="B121" s="3"/>
      <c r="D121" s="3" t="s">
        <v>318</v>
      </c>
      <c r="E121" s="4" t="s">
        <v>319</v>
      </c>
      <c r="G121" s="4" t="s">
        <v>791</v>
      </c>
    </row>
    <row r="122" spans="1:7">
      <c r="A122" s="3"/>
      <c r="B122" s="3"/>
      <c r="D122" s="3" t="s">
        <v>321</v>
      </c>
      <c r="E122" s="4" t="s">
        <v>322</v>
      </c>
      <c r="G122" s="4" t="s">
        <v>323</v>
      </c>
    </row>
    <row r="123" spans="1:7">
      <c r="A123" s="3"/>
      <c r="B123" s="3"/>
      <c r="D123" s="3" t="s">
        <v>324</v>
      </c>
      <c r="E123" s="4" t="s">
        <v>325</v>
      </c>
      <c r="G123" s="4" t="s">
        <v>792</v>
      </c>
    </row>
    <row r="124" spans="1:7">
      <c r="A124" s="3"/>
      <c r="B124" s="3"/>
      <c r="D124" s="3" t="s">
        <v>327</v>
      </c>
      <c r="E124" s="4" t="s">
        <v>328</v>
      </c>
      <c r="G124" s="4" t="s">
        <v>793</v>
      </c>
    </row>
    <row r="125" spans="1:7">
      <c r="A125" s="3"/>
      <c r="B125" s="3"/>
      <c r="D125" s="3" t="s">
        <v>330</v>
      </c>
      <c r="E125" s="4" t="s">
        <v>331</v>
      </c>
      <c r="G125" s="4" t="s">
        <v>794</v>
      </c>
    </row>
    <row r="126" spans="1:7">
      <c r="A126" s="3"/>
      <c r="B126" s="3"/>
      <c r="C126" s="4" t="s">
        <v>333</v>
      </c>
      <c r="D126" s="5" t="s">
        <v>334</v>
      </c>
    </row>
    <row r="127" spans="1:7">
      <c r="A127" s="3"/>
      <c r="B127" s="3"/>
      <c r="D127" s="3" t="s">
        <v>336</v>
      </c>
      <c r="E127" s="5" t="s">
        <v>337</v>
      </c>
      <c r="G127" s="4" t="s">
        <v>795</v>
      </c>
    </row>
    <row r="128" spans="1:7">
      <c r="A128" s="3"/>
      <c r="B128" s="3"/>
      <c r="D128" s="3" t="s">
        <v>339</v>
      </c>
      <c r="E128" s="4" t="s">
        <v>340</v>
      </c>
      <c r="G128" s="4" t="s">
        <v>796</v>
      </c>
    </row>
    <row r="129" spans="1:7">
      <c r="A129" s="3"/>
      <c r="B129" s="3">
        <v>2.4</v>
      </c>
      <c r="C129" s="4" t="s">
        <v>342</v>
      </c>
      <c r="D129" s="3"/>
    </row>
    <row r="130" spans="1:7">
      <c r="A130" s="3"/>
      <c r="B130" s="3"/>
      <c r="C130" s="4" t="s">
        <v>343</v>
      </c>
      <c r="D130" s="4" t="s">
        <v>342</v>
      </c>
    </row>
    <row r="131" spans="1:7">
      <c r="A131" s="3"/>
      <c r="B131" s="3"/>
      <c r="C131" s="4"/>
      <c r="D131" s="4" t="s">
        <v>344</v>
      </c>
      <c r="E131" s="4" t="s">
        <v>345</v>
      </c>
      <c r="G131" s="4" t="s">
        <v>346</v>
      </c>
    </row>
    <row r="132" spans="1:7">
      <c r="A132" s="3"/>
      <c r="B132" s="3"/>
      <c r="C132" s="4"/>
      <c r="D132" s="4" t="s">
        <v>347</v>
      </c>
      <c r="E132" s="4" t="s">
        <v>348</v>
      </c>
      <c r="G132" s="4" t="s">
        <v>797</v>
      </c>
    </row>
    <row r="133" spans="1:7">
      <c r="A133" s="3"/>
      <c r="B133" s="3"/>
      <c r="C133" s="4"/>
      <c r="D133" s="4" t="s">
        <v>350</v>
      </c>
      <c r="E133" s="4" t="s">
        <v>351</v>
      </c>
      <c r="G133" s="4" t="s">
        <v>798</v>
      </c>
    </row>
    <row r="134" spans="1:7">
      <c r="A134" s="3"/>
      <c r="B134" s="3"/>
      <c r="C134" s="4"/>
      <c r="D134" s="4" t="s">
        <v>353</v>
      </c>
      <c r="E134" s="4" t="s">
        <v>354</v>
      </c>
      <c r="G134" s="4" t="s">
        <v>355</v>
      </c>
    </row>
    <row r="135" spans="1:7">
      <c r="A135" s="3"/>
      <c r="B135" s="3"/>
      <c r="C135" s="4" t="s">
        <v>356</v>
      </c>
      <c r="D135" s="5" t="s">
        <v>357</v>
      </c>
    </row>
    <row r="136" spans="1:7">
      <c r="A136" s="3"/>
      <c r="B136" s="3"/>
      <c r="C136" s="4"/>
      <c r="D136" s="3" t="s">
        <v>358</v>
      </c>
      <c r="E136" s="4" t="s">
        <v>359</v>
      </c>
    </row>
    <row r="137" spans="1:7">
      <c r="A137" s="3"/>
      <c r="B137" s="3"/>
      <c r="C137" s="4"/>
      <c r="D137" s="3"/>
      <c r="E137" s="3" t="s">
        <v>360</v>
      </c>
      <c r="F137" s="4" t="s">
        <v>361</v>
      </c>
      <c r="G137" s="4" t="s">
        <v>355</v>
      </c>
    </row>
    <row r="138" spans="1:7">
      <c r="A138" s="3"/>
      <c r="B138" s="3"/>
      <c r="C138" s="4"/>
      <c r="D138" s="3"/>
      <c r="E138" s="3" t="s">
        <v>363</v>
      </c>
      <c r="F138" s="4" t="s">
        <v>364</v>
      </c>
      <c r="G138" s="4" t="s">
        <v>799</v>
      </c>
    </row>
    <row r="139" spans="1:7">
      <c r="A139" s="3"/>
      <c r="B139" s="3"/>
      <c r="C139" s="4"/>
      <c r="D139" s="3"/>
      <c r="E139" s="3" t="s">
        <v>366</v>
      </c>
      <c r="F139" s="4" t="s">
        <v>367</v>
      </c>
      <c r="G139" s="4" t="s">
        <v>800</v>
      </c>
    </row>
    <row r="140" spans="1:7">
      <c r="A140" s="3"/>
      <c r="B140" s="3"/>
      <c r="C140" s="4"/>
      <c r="D140" s="3" t="s">
        <v>369</v>
      </c>
      <c r="E140" s="4" t="s">
        <v>370</v>
      </c>
    </row>
    <row r="141" spans="1:7">
      <c r="A141" s="3"/>
      <c r="B141" s="3"/>
      <c r="C141" s="4"/>
      <c r="D141" s="5"/>
      <c r="E141" s="3" t="s">
        <v>371</v>
      </c>
      <c r="F141" s="4" t="s">
        <v>372</v>
      </c>
      <c r="G141" s="4" t="s">
        <v>801</v>
      </c>
    </row>
    <row r="142" spans="1:7">
      <c r="A142" s="3"/>
      <c r="B142" s="3"/>
      <c r="C142" s="4"/>
      <c r="D142" s="5"/>
      <c r="E142" s="3" t="s">
        <v>374</v>
      </c>
      <c r="F142" s="4" t="s">
        <v>375</v>
      </c>
      <c r="G142" s="4" t="s">
        <v>376</v>
      </c>
    </row>
    <row r="143" spans="1:7">
      <c r="A143" s="3"/>
      <c r="B143" s="3"/>
      <c r="C143" s="4"/>
      <c r="D143" s="5"/>
      <c r="E143" s="3" t="s">
        <v>377</v>
      </c>
      <c r="F143" s="4" t="s">
        <v>378</v>
      </c>
      <c r="G143" s="4" t="s">
        <v>802</v>
      </c>
    </row>
    <row r="144" spans="1:7">
      <c r="A144" s="3"/>
      <c r="B144" s="3"/>
      <c r="C144" s="4"/>
      <c r="D144" s="5"/>
      <c r="E144" s="3" t="s">
        <v>380</v>
      </c>
      <c r="F144" s="4" t="s">
        <v>381</v>
      </c>
      <c r="G144" s="4" t="s">
        <v>803</v>
      </c>
    </row>
    <row r="145" spans="1:7">
      <c r="A145" s="3"/>
      <c r="B145" s="3"/>
      <c r="C145" s="4" t="s">
        <v>383</v>
      </c>
      <c r="D145" s="5" t="s">
        <v>384</v>
      </c>
    </row>
    <row r="146" spans="1:7">
      <c r="A146" s="3"/>
      <c r="B146" s="3"/>
      <c r="C146" s="4"/>
      <c r="D146" s="3" t="s">
        <v>385</v>
      </c>
      <c r="E146" s="4" t="s">
        <v>386</v>
      </c>
      <c r="G146" s="4" t="s">
        <v>804</v>
      </c>
    </row>
    <row r="147" spans="1:7">
      <c r="A147" s="3"/>
      <c r="B147" s="3"/>
      <c r="C147" s="4"/>
      <c r="D147" s="3" t="s">
        <v>388</v>
      </c>
      <c r="E147" s="4" t="s">
        <v>389</v>
      </c>
      <c r="G147" s="4" t="s">
        <v>805</v>
      </c>
    </row>
    <row r="148" spans="1:7">
      <c r="A148" s="3"/>
      <c r="B148" s="3"/>
      <c r="C148" s="4"/>
      <c r="D148" s="3" t="s">
        <v>391</v>
      </c>
      <c r="E148" s="4" t="s">
        <v>392</v>
      </c>
      <c r="G148" s="4" t="s">
        <v>806</v>
      </c>
    </row>
    <row r="149" spans="1:7">
      <c r="A149" s="3"/>
      <c r="B149" s="3"/>
      <c r="C149" s="4" t="s">
        <v>394</v>
      </c>
      <c r="D149" s="5" t="s">
        <v>395</v>
      </c>
    </row>
    <row r="150" spans="1:7">
      <c r="A150" s="3"/>
      <c r="B150" s="3"/>
      <c r="C150" s="4"/>
      <c r="D150" s="3" t="s">
        <v>397</v>
      </c>
      <c r="E150" s="4" t="s">
        <v>398</v>
      </c>
    </row>
    <row r="151" spans="1:7">
      <c r="A151" s="3"/>
      <c r="B151" s="3"/>
      <c r="C151" s="4"/>
      <c r="D151" s="3"/>
      <c r="E151" s="3" t="s">
        <v>399</v>
      </c>
      <c r="F151" s="4" t="s">
        <v>400</v>
      </c>
      <c r="G151" s="4" t="s">
        <v>807</v>
      </c>
    </row>
    <row r="152" spans="1:7">
      <c r="A152" s="3"/>
      <c r="B152" s="3"/>
      <c r="C152" s="4"/>
      <c r="D152" s="3"/>
      <c r="E152" s="3" t="s">
        <v>402</v>
      </c>
      <c r="F152" s="4" t="s">
        <v>403</v>
      </c>
      <c r="G152" s="4" t="s">
        <v>808</v>
      </c>
    </row>
    <row r="153" spans="1:7">
      <c r="A153" s="3"/>
      <c r="B153" s="3"/>
      <c r="C153" s="4"/>
      <c r="D153" s="3"/>
      <c r="E153" s="3" t="s">
        <v>405</v>
      </c>
      <c r="F153" s="4" t="s">
        <v>406</v>
      </c>
      <c r="G153" s="4" t="s">
        <v>809</v>
      </c>
    </row>
    <row r="154" spans="1:7">
      <c r="A154" s="3"/>
      <c r="B154" s="3"/>
      <c r="C154" s="4"/>
      <c r="D154" s="3" t="s">
        <v>408</v>
      </c>
      <c r="E154" s="4" t="s">
        <v>409</v>
      </c>
      <c r="G154" s="4" t="s">
        <v>810</v>
      </c>
    </row>
    <row r="155" spans="1:7">
      <c r="A155" s="3"/>
      <c r="B155" s="3"/>
      <c r="C155" s="4"/>
      <c r="D155" s="3" t="s">
        <v>411</v>
      </c>
      <c r="E155" s="4" t="s">
        <v>412</v>
      </c>
      <c r="G155" s="4" t="s">
        <v>811</v>
      </c>
    </row>
    <row r="156" spans="1:7">
      <c r="A156" s="3"/>
      <c r="B156" s="3"/>
      <c r="C156" s="4"/>
      <c r="D156" s="3" t="s">
        <v>414</v>
      </c>
      <c r="E156" s="4" t="s">
        <v>415</v>
      </c>
      <c r="G156" s="4" t="s">
        <v>812</v>
      </c>
    </row>
    <row r="157" spans="1:7">
      <c r="A157" s="3"/>
      <c r="B157" s="3"/>
      <c r="C157" s="4"/>
      <c r="D157" s="3" t="s">
        <v>417</v>
      </c>
      <c r="E157" s="4" t="s">
        <v>418</v>
      </c>
      <c r="G157" s="4" t="s">
        <v>813</v>
      </c>
    </row>
    <row r="158" spans="1:7">
      <c r="A158" s="3"/>
      <c r="B158" s="3"/>
      <c r="C158" s="4"/>
      <c r="D158" s="3" t="s">
        <v>420</v>
      </c>
      <c r="E158" s="4" t="s">
        <v>421</v>
      </c>
      <c r="G158" s="4" t="s">
        <v>814</v>
      </c>
    </row>
    <row r="159" spans="1:7">
      <c r="A159" s="3"/>
      <c r="B159" s="3"/>
      <c r="C159" s="4" t="s">
        <v>423</v>
      </c>
      <c r="D159" s="5" t="s">
        <v>424</v>
      </c>
    </row>
    <row r="160" spans="1:7">
      <c r="A160" s="3"/>
      <c r="B160" s="3"/>
      <c r="C160" s="4"/>
      <c r="D160" s="3" t="s">
        <v>426</v>
      </c>
      <c r="E160" s="4" t="s">
        <v>427</v>
      </c>
      <c r="G160" s="4" t="s">
        <v>814</v>
      </c>
    </row>
    <row r="161" spans="1:7">
      <c r="A161" s="3"/>
      <c r="B161" s="3"/>
      <c r="C161" s="4" t="s">
        <v>429</v>
      </c>
      <c r="D161" s="5" t="s">
        <v>430</v>
      </c>
    </row>
    <row r="162" spans="1:7">
      <c r="A162" s="3"/>
      <c r="B162" s="3"/>
      <c r="D162" s="5" t="s">
        <v>432</v>
      </c>
      <c r="E162" s="4" t="s">
        <v>433</v>
      </c>
    </row>
    <row r="163" spans="1:7">
      <c r="A163" s="3"/>
      <c r="B163" s="3"/>
      <c r="D163" s="3"/>
      <c r="E163" s="3" t="s">
        <v>434</v>
      </c>
      <c r="F163" s="4" t="s">
        <v>435</v>
      </c>
      <c r="G163" s="4" t="s">
        <v>815</v>
      </c>
    </row>
    <row r="164" spans="1:7">
      <c r="A164" s="3"/>
      <c r="B164" s="3"/>
      <c r="D164" s="3"/>
      <c r="E164" s="3" t="s">
        <v>437</v>
      </c>
      <c r="F164" s="4" t="s">
        <v>438</v>
      </c>
      <c r="G164" s="4" t="s">
        <v>815</v>
      </c>
    </row>
    <row r="165" spans="1:7">
      <c r="A165" s="3"/>
      <c r="B165" s="3"/>
      <c r="D165" s="3"/>
      <c r="E165" s="3" t="s">
        <v>440</v>
      </c>
      <c r="F165" s="4" t="s">
        <v>441</v>
      </c>
      <c r="G165" s="4" t="s">
        <v>816</v>
      </c>
    </row>
    <row r="166" spans="1:7">
      <c r="A166" s="3"/>
      <c r="B166" s="3"/>
      <c r="D166" s="3"/>
      <c r="E166" s="3" t="s">
        <v>443</v>
      </c>
      <c r="F166" s="4" t="s">
        <v>444</v>
      </c>
      <c r="G166" s="4" t="s">
        <v>817</v>
      </c>
    </row>
    <row r="167" spans="1:7">
      <c r="A167" s="3"/>
      <c r="B167" s="3"/>
      <c r="D167" s="3"/>
      <c r="E167" s="3" t="s">
        <v>446</v>
      </c>
      <c r="F167" s="4" t="s">
        <v>447</v>
      </c>
      <c r="G167" s="4" t="s">
        <v>818</v>
      </c>
    </row>
    <row r="168" spans="1:7">
      <c r="A168" s="3"/>
      <c r="B168" s="3">
        <v>2.5</v>
      </c>
      <c r="C168" s="4" t="s">
        <v>449</v>
      </c>
    </row>
    <row r="169" spans="1:7">
      <c r="A169" s="3"/>
      <c r="B169" s="3"/>
      <c r="C169" s="3" t="s">
        <v>450</v>
      </c>
      <c r="D169" s="4" t="s">
        <v>451</v>
      </c>
    </row>
    <row r="170" spans="1:7">
      <c r="A170" s="3"/>
      <c r="B170" s="3"/>
      <c r="D170" s="3" t="s">
        <v>452</v>
      </c>
      <c r="E170" s="5" t="s">
        <v>453</v>
      </c>
      <c r="G170" s="4" t="s">
        <v>819</v>
      </c>
    </row>
    <row r="171" spans="1:7">
      <c r="A171" s="3"/>
      <c r="B171" s="3"/>
      <c r="C171" s="3" t="s">
        <v>455</v>
      </c>
      <c r="D171" s="5" t="s">
        <v>456</v>
      </c>
    </row>
    <row r="172" spans="1:7">
      <c r="A172" s="3"/>
      <c r="B172" s="3"/>
      <c r="D172" s="3" t="s">
        <v>457</v>
      </c>
      <c r="E172" s="5" t="s">
        <v>458</v>
      </c>
      <c r="G172" s="4" t="s">
        <v>820</v>
      </c>
    </row>
    <row r="173" spans="1:7">
      <c r="A173" s="3"/>
      <c r="B173" s="3"/>
      <c r="C173" s="3" t="s">
        <v>460</v>
      </c>
      <c r="D173" s="5" t="s">
        <v>461</v>
      </c>
    </row>
    <row r="174" spans="1:7">
      <c r="A174" s="3"/>
      <c r="B174" s="3"/>
      <c r="D174" s="3" t="s">
        <v>462</v>
      </c>
      <c r="E174" s="4" t="s">
        <v>463</v>
      </c>
      <c r="G174" s="4" t="s">
        <v>821</v>
      </c>
    </row>
    <row r="175" spans="1:7">
      <c r="A175" s="3"/>
      <c r="B175" s="3">
        <v>2.6</v>
      </c>
      <c r="C175" s="4" t="s">
        <v>465</v>
      </c>
      <c r="D175" s="3"/>
    </row>
    <row r="176" spans="1:7">
      <c r="A176" s="3"/>
      <c r="B176" s="3"/>
      <c r="C176" s="3" t="s">
        <v>466</v>
      </c>
      <c r="D176" s="4" t="s">
        <v>467</v>
      </c>
      <c r="G176" s="4" t="s">
        <v>822</v>
      </c>
    </row>
    <row r="177" spans="1:7">
      <c r="A177" s="3"/>
      <c r="B177" s="3">
        <v>2.7</v>
      </c>
      <c r="C177" s="4" t="s">
        <v>469</v>
      </c>
      <c r="D177" s="3"/>
    </row>
    <row r="178" spans="1:7">
      <c r="A178" s="3"/>
      <c r="B178" s="3"/>
      <c r="C178" s="4" t="s">
        <v>470</v>
      </c>
      <c r="D178" s="5" t="s">
        <v>471</v>
      </c>
    </row>
    <row r="179" spans="1:7">
      <c r="A179" s="3"/>
      <c r="B179" s="3"/>
      <c r="D179" s="3" t="s">
        <v>473</v>
      </c>
      <c r="E179" s="4" t="s">
        <v>474</v>
      </c>
      <c r="G179" s="4" t="s">
        <v>823</v>
      </c>
    </row>
    <row r="180" spans="1:7">
      <c r="A180" s="3"/>
      <c r="B180" s="3"/>
      <c r="C180" s="4" t="s">
        <v>476</v>
      </c>
      <c r="D180" s="5" t="s">
        <v>477</v>
      </c>
    </row>
    <row r="181" spans="1:7">
      <c r="A181" s="3"/>
      <c r="B181" s="3"/>
      <c r="D181" s="3" t="s">
        <v>479</v>
      </c>
      <c r="E181" s="4" t="s">
        <v>480</v>
      </c>
      <c r="G181" s="4" t="s">
        <v>824</v>
      </c>
    </row>
    <row r="182" spans="1:7">
      <c r="A182" s="3"/>
      <c r="B182" s="3"/>
      <c r="C182" s="4" t="s">
        <v>482</v>
      </c>
      <c r="D182" s="5" t="s">
        <v>483</v>
      </c>
    </row>
    <row r="183" spans="1:7">
      <c r="A183" s="3"/>
      <c r="B183" s="3"/>
      <c r="D183" s="4" t="s">
        <v>485</v>
      </c>
      <c r="E183" s="4" t="s">
        <v>486</v>
      </c>
      <c r="G183" s="4" t="s">
        <v>825</v>
      </c>
    </row>
    <row r="184" spans="1:7">
      <c r="A184" s="3"/>
      <c r="B184" s="3"/>
      <c r="C184" s="4" t="s">
        <v>488</v>
      </c>
      <c r="D184" s="5" t="s">
        <v>489</v>
      </c>
    </row>
    <row r="185" spans="1:7">
      <c r="A185" s="3"/>
      <c r="B185" s="3"/>
      <c r="D185" s="3" t="s">
        <v>491</v>
      </c>
      <c r="E185" s="4" t="s">
        <v>492</v>
      </c>
      <c r="G185" s="4" t="s">
        <v>826</v>
      </c>
    </row>
    <row r="186" spans="1:7">
      <c r="A186" s="3"/>
      <c r="B186" s="3"/>
      <c r="D186" s="3" t="s">
        <v>494</v>
      </c>
      <c r="E186" s="4" t="s">
        <v>495</v>
      </c>
      <c r="G186" s="4" t="s">
        <v>827</v>
      </c>
    </row>
    <row r="187" spans="1:7">
      <c r="A187" s="3"/>
      <c r="B187" s="3"/>
      <c r="D187" s="3" t="s">
        <v>497</v>
      </c>
      <c r="E187" s="5" t="s">
        <v>498</v>
      </c>
      <c r="G187" s="4" t="s">
        <v>828</v>
      </c>
    </row>
    <row r="188" spans="1:7">
      <c r="A188" s="3"/>
      <c r="B188" s="3"/>
      <c r="D188" s="3" t="s">
        <v>500</v>
      </c>
      <c r="E188" s="5" t="s">
        <v>501</v>
      </c>
      <c r="G188" s="4" t="s">
        <v>829</v>
      </c>
    </row>
    <row r="189" spans="1:7">
      <c r="A189" s="3"/>
      <c r="B189" s="3"/>
      <c r="D189" s="9" t="s">
        <v>503</v>
      </c>
      <c r="E189" s="7" t="s">
        <v>504</v>
      </c>
      <c r="F189" s="6"/>
      <c r="G189" s="4" t="s">
        <v>830</v>
      </c>
    </row>
    <row r="190" spans="1:7">
      <c r="A190" s="3"/>
      <c r="B190" s="3"/>
      <c r="D190" s="3" t="s">
        <v>506</v>
      </c>
      <c r="E190" s="5" t="s">
        <v>507</v>
      </c>
      <c r="G190" s="4" t="s">
        <v>831</v>
      </c>
    </row>
    <row r="191" spans="1:7">
      <c r="A191" s="3"/>
      <c r="B191" s="3"/>
      <c r="D191" s="3"/>
      <c r="E191" s="3" t="s">
        <v>509</v>
      </c>
      <c r="F191" s="4" t="s">
        <v>510</v>
      </c>
      <c r="G191" s="4" t="s">
        <v>832</v>
      </c>
    </row>
    <row r="192" spans="1:7">
      <c r="A192" s="3"/>
      <c r="B192" s="3"/>
      <c r="D192" s="3" t="s">
        <v>512</v>
      </c>
      <c r="E192" s="5" t="s">
        <v>513</v>
      </c>
      <c r="G192" s="4" t="s">
        <v>833</v>
      </c>
    </row>
    <row r="193" spans="1:7">
      <c r="A193" s="3"/>
      <c r="B193" s="3"/>
      <c r="D193" s="3" t="s">
        <v>515</v>
      </c>
      <c r="E193" s="5" t="s">
        <v>516</v>
      </c>
      <c r="G193" s="4" t="s">
        <v>834</v>
      </c>
    </row>
    <row r="194" spans="1:7">
      <c r="A194" s="3"/>
      <c r="B194" s="3"/>
      <c r="D194" s="3" t="s">
        <v>519</v>
      </c>
      <c r="E194" s="5" t="s">
        <v>520</v>
      </c>
      <c r="G194" s="4" t="s">
        <v>835</v>
      </c>
    </row>
    <row r="195" spans="1:7">
      <c r="A195" s="3">
        <v>3</v>
      </c>
      <c r="B195" s="5" t="s">
        <v>521</v>
      </c>
      <c r="D195" s="3"/>
    </row>
    <row r="196" spans="1:7">
      <c r="A196" s="3"/>
      <c r="B196" s="3">
        <v>3.1</v>
      </c>
      <c r="C196" s="4" t="s">
        <v>522</v>
      </c>
      <c r="D196" s="3"/>
    </row>
    <row r="197" spans="1:7">
      <c r="A197" s="3"/>
      <c r="B197" s="3"/>
      <c r="C197" s="4" t="s">
        <v>524</v>
      </c>
      <c r="D197" s="5" t="s">
        <v>525</v>
      </c>
      <c r="G197" s="4" t="s">
        <v>836</v>
      </c>
    </row>
    <row r="198" spans="1:7">
      <c r="A198" s="3"/>
      <c r="B198" s="3"/>
      <c r="C198" s="4" t="s">
        <v>527</v>
      </c>
      <c r="D198" s="5" t="s">
        <v>528</v>
      </c>
      <c r="G198" s="4" t="s">
        <v>837</v>
      </c>
    </row>
    <row r="199" spans="1:7">
      <c r="A199" s="3"/>
      <c r="B199" s="3"/>
      <c r="C199" s="4" t="s">
        <v>530</v>
      </c>
      <c r="D199" s="5" t="s">
        <v>531</v>
      </c>
      <c r="G199" s="4" t="s">
        <v>838</v>
      </c>
    </row>
    <row r="200" spans="1:7">
      <c r="A200" s="3"/>
      <c r="B200" s="3"/>
      <c r="C200" s="4" t="s">
        <v>533</v>
      </c>
      <c r="D200" s="5" t="s">
        <v>534</v>
      </c>
      <c r="G200" s="4" t="s">
        <v>535</v>
      </c>
    </row>
    <row r="201" spans="1:7">
      <c r="A201" s="3"/>
      <c r="B201" s="3"/>
      <c r="D201" s="4" t="s">
        <v>536</v>
      </c>
      <c r="E201" s="4" t="s">
        <v>537</v>
      </c>
      <c r="G201" s="4" t="s">
        <v>839</v>
      </c>
    </row>
    <row r="202" spans="1:7">
      <c r="A202" s="3"/>
      <c r="B202" s="3"/>
      <c r="D202" s="4" t="s">
        <v>539</v>
      </c>
      <c r="E202" s="4" t="s">
        <v>540</v>
      </c>
      <c r="G202" s="4" t="s">
        <v>840</v>
      </c>
    </row>
    <row r="203" spans="1:7">
      <c r="A203" s="3"/>
      <c r="B203" s="3"/>
      <c r="D203" s="4" t="s">
        <v>542</v>
      </c>
      <c r="E203" s="4" t="s">
        <v>543</v>
      </c>
      <c r="G203" s="4" t="s">
        <v>841</v>
      </c>
    </row>
    <row r="204" spans="1:7">
      <c r="A204" s="3"/>
      <c r="B204" s="3"/>
      <c r="D204" s="4" t="s">
        <v>545</v>
      </c>
      <c r="E204" s="4" t="s">
        <v>546</v>
      </c>
      <c r="G204" s="4" t="s">
        <v>842</v>
      </c>
    </row>
    <row r="205" spans="1:7">
      <c r="A205" s="3"/>
      <c r="B205" s="3"/>
      <c r="D205" s="4" t="s">
        <v>548</v>
      </c>
      <c r="E205" s="4" t="s">
        <v>549</v>
      </c>
      <c r="G205" s="4" t="s">
        <v>843</v>
      </c>
    </row>
    <row r="206" spans="1:7">
      <c r="A206" s="3"/>
      <c r="B206" s="3"/>
      <c r="C206" s="4" t="s">
        <v>551</v>
      </c>
      <c r="D206" s="5" t="s">
        <v>552</v>
      </c>
    </row>
    <row r="207" spans="1:7">
      <c r="A207" s="3"/>
      <c r="B207" s="3"/>
      <c r="D207" s="4" t="s">
        <v>554</v>
      </c>
      <c r="E207" s="4" t="s">
        <v>555</v>
      </c>
      <c r="G207" s="4" t="s">
        <v>844</v>
      </c>
    </row>
    <row r="208" spans="1:7">
      <c r="A208" s="3"/>
      <c r="B208" s="3"/>
      <c r="D208" s="4" t="s">
        <v>557</v>
      </c>
      <c r="E208" s="4" t="s">
        <v>558</v>
      </c>
      <c r="G208" s="4" t="s">
        <v>845</v>
      </c>
    </row>
    <row r="209" spans="1:7">
      <c r="A209" s="3"/>
      <c r="B209" s="3"/>
      <c r="C209" s="4" t="s">
        <v>560</v>
      </c>
      <c r="D209" s="5" t="s">
        <v>561</v>
      </c>
    </row>
    <row r="210" spans="1:7">
      <c r="A210" s="3"/>
      <c r="B210" s="3"/>
      <c r="D210" s="4" t="s">
        <v>563</v>
      </c>
      <c r="E210" s="4" t="s">
        <v>564</v>
      </c>
      <c r="G210" s="4" t="s">
        <v>846</v>
      </c>
    </row>
    <row r="211" spans="1:7">
      <c r="A211" s="3"/>
      <c r="B211" s="3"/>
      <c r="D211" s="4" t="s">
        <v>566</v>
      </c>
      <c r="E211" s="4" t="s">
        <v>567</v>
      </c>
      <c r="G211" s="4" t="s">
        <v>568</v>
      </c>
    </row>
    <row r="212" spans="1:7">
      <c r="A212" s="3"/>
      <c r="B212" s="3"/>
      <c r="D212" s="4" t="s">
        <v>569</v>
      </c>
      <c r="E212" s="4" t="s">
        <v>570</v>
      </c>
      <c r="G212" s="4" t="s">
        <v>847</v>
      </c>
    </row>
    <row r="213" spans="1:7">
      <c r="A213" s="3"/>
      <c r="B213" s="3"/>
      <c r="D213" s="4" t="s">
        <v>572</v>
      </c>
      <c r="E213" s="4" t="s">
        <v>573</v>
      </c>
      <c r="G213" s="4" t="s">
        <v>848</v>
      </c>
    </row>
    <row r="214" spans="1:7">
      <c r="A214" s="3"/>
      <c r="B214" s="3"/>
      <c r="D214" s="4" t="s">
        <v>575</v>
      </c>
      <c r="E214" s="4" t="s">
        <v>576</v>
      </c>
      <c r="G214" s="4" t="s">
        <v>849</v>
      </c>
    </row>
    <row r="215" spans="1:7">
      <c r="A215" s="3"/>
      <c r="B215" s="3">
        <v>3.2</v>
      </c>
      <c r="C215" s="4" t="s">
        <v>578</v>
      </c>
      <c r="D215" s="3"/>
    </row>
    <row r="216" spans="1:7">
      <c r="A216" s="3"/>
      <c r="B216" s="3"/>
      <c r="C216" s="3" t="s">
        <v>580</v>
      </c>
      <c r="D216" s="5" t="s">
        <v>581</v>
      </c>
      <c r="G216" s="4" t="s">
        <v>850</v>
      </c>
    </row>
    <row r="217" spans="1:7">
      <c r="A217" s="3"/>
      <c r="B217" s="3"/>
      <c r="C217" s="3" t="s">
        <v>583</v>
      </c>
      <c r="D217" s="5" t="s">
        <v>584</v>
      </c>
      <c r="G217" s="4" t="s">
        <v>851</v>
      </c>
    </row>
    <row r="218" spans="1:7">
      <c r="A218" s="3"/>
      <c r="B218" s="3"/>
      <c r="C218" s="3" t="s">
        <v>586</v>
      </c>
      <c r="D218" s="5" t="s">
        <v>587</v>
      </c>
      <c r="G218" s="4" t="s">
        <v>852</v>
      </c>
    </row>
    <row r="219" spans="1:7">
      <c r="A219" s="3"/>
      <c r="B219" s="3"/>
      <c r="C219" s="3" t="s">
        <v>589</v>
      </c>
      <c r="D219" s="4" t="s">
        <v>590</v>
      </c>
      <c r="G219" s="4" t="s">
        <v>853</v>
      </c>
    </row>
    <row r="220" spans="1:7">
      <c r="A220" s="3"/>
      <c r="B220" s="3"/>
      <c r="C220" s="3" t="s">
        <v>592</v>
      </c>
      <c r="D220" s="5" t="s">
        <v>593</v>
      </c>
      <c r="G220" s="4" t="s">
        <v>854</v>
      </c>
    </row>
    <row r="221" spans="1:7">
      <c r="A221" s="3"/>
      <c r="B221" s="3"/>
      <c r="C221" s="3" t="s">
        <v>595</v>
      </c>
      <c r="D221" s="5" t="s">
        <v>596</v>
      </c>
      <c r="G221" s="4" t="s">
        <v>855</v>
      </c>
    </row>
    <row r="222" spans="1:7">
      <c r="A222" s="3"/>
      <c r="B222" s="3"/>
      <c r="C222" s="3" t="s">
        <v>598</v>
      </c>
      <c r="D222" s="5" t="s">
        <v>599</v>
      </c>
      <c r="G222" s="4" t="s">
        <v>856</v>
      </c>
    </row>
    <row r="223" spans="1:7">
      <c r="A223" s="3"/>
      <c r="B223" s="3"/>
      <c r="D223" s="3" t="s">
        <v>601</v>
      </c>
      <c r="E223" s="4" t="s">
        <v>602</v>
      </c>
      <c r="G223" s="4" t="s">
        <v>603</v>
      </c>
    </row>
    <row r="224" spans="1:7">
      <c r="A224" s="3"/>
      <c r="B224" s="3"/>
      <c r="D224" s="3" t="s">
        <v>604</v>
      </c>
      <c r="E224" s="4" t="s">
        <v>605</v>
      </c>
      <c r="G224" s="4" t="s">
        <v>857</v>
      </c>
    </row>
    <row r="225" spans="1:7">
      <c r="A225" s="3"/>
      <c r="B225" s="3"/>
      <c r="D225" s="3" t="s">
        <v>607</v>
      </c>
      <c r="E225" s="4" t="s">
        <v>608</v>
      </c>
      <c r="G225" s="4" t="s">
        <v>858</v>
      </c>
    </row>
    <row r="226" spans="1:7">
      <c r="A226" s="3"/>
      <c r="B226" s="3">
        <v>3.3</v>
      </c>
      <c r="C226" s="4" t="s">
        <v>610</v>
      </c>
    </row>
    <row r="227" spans="1:7">
      <c r="A227" s="3"/>
      <c r="B227" s="3"/>
      <c r="C227" s="4" t="s">
        <v>612</v>
      </c>
      <c r="D227" s="4" t="s">
        <v>613</v>
      </c>
      <c r="G227" s="4" t="s">
        <v>614</v>
      </c>
    </row>
    <row r="228" spans="1:7">
      <c r="A228" s="3"/>
      <c r="B228" s="3"/>
      <c r="C228" s="4"/>
      <c r="D228" s="4" t="s">
        <v>615</v>
      </c>
      <c r="E228" s="4" t="s">
        <v>616</v>
      </c>
      <c r="G228" s="4" t="s">
        <v>859</v>
      </c>
    </row>
    <row r="229" spans="1:7">
      <c r="A229" s="3"/>
      <c r="B229" s="3"/>
      <c r="C229" s="4"/>
      <c r="D229" s="4" t="s">
        <v>618</v>
      </c>
      <c r="E229" s="4" t="s">
        <v>619</v>
      </c>
      <c r="G229" s="4" t="s">
        <v>860</v>
      </c>
    </row>
    <row r="230" spans="1:7">
      <c r="A230" s="3"/>
      <c r="B230" s="3"/>
      <c r="C230" s="4" t="s">
        <v>621</v>
      </c>
      <c r="D230" s="4" t="s">
        <v>622</v>
      </c>
      <c r="G230" s="4" t="s">
        <v>861</v>
      </c>
    </row>
    <row r="231" spans="1:7">
      <c r="A231" s="3"/>
      <c r="B231" s="3"/>
      <c r="C231" s="4" t="s">
        <v>624</v>
      </c>
      <c r="D231" s="4" t="s">
        <v>625</v>
      </c>
      <c r="G231" s="4" t="s">
        <v>862</v>
      </c>
    </row>
    <row r="232" spans="1:7">
      <c r="A232" s="3"/>
      <c r="B232" s="3"/>
      <c r="D232" s="4" t="s">
        <v>627</v>
      </c>
      <c r="E232" s="4" t="s">
        <v>628</v>
      </c>
    </row>
    <row r="233" spans="1:7">
      <c r="A233" s="3"/>
      <c r="B233" s="3"/>
      <c r="E233" s="3" t="s">
        <v>630</v>
      </c>
      <c r="F233" s="4" t="s">
        <v>631</v>
      </c>
      <c r="G233" s="4" t="s">
        <v>863</v>
      </c>
    </row>
    <row r="234" spans="1:7">
      <c r="A234" s="3"/>
      <c r="B234" s="3"/>
      <c r="E234" s="3" t="s">
        <v>633</v>
      </c>
      <c r="F234" s="4" t="s">
        <v>634</v>
      </c>
      <c r="G234" s="4" t="s">
        <v>864</v>
      </c>
    </row>
    <row r="235" spans="1:7">
      <c r="A235" s="3"/>
      <c r="D235" s="4" t="s">
        <v>636</v>
      </c>
      <c r="E235" s="4" t="s">
        <v>637</v>
      </c>
      <c r="G235" s="4" t="s">
        <v>865</v>
      </c>
    </row>
    <row r="236" spans="1:7">
      <c r="A236" s="3"/>
      <c r="E236" s="4" t="s">
        <v>866</v>
      </c>
      <c r="F236" s="4" t="s">
        <v>639</v>
      </c>
      <c r="G236" s="4" t="s">
        <v>867</v>
      </c>
    </row>
    <row r="237" spans="1:7">
      <c r="A237" s="3"/>
      <c r="B237" s="3">
        <v>3.4</v>
      </c>
      <c r="C237" s="4" t="s">
        <v>641</v>
      </c>
    </row>
    <row r="238" spans="1:7">
      <c r="A238" s="3"/>
      <c r="C238" s="4" t="s">
        <v>643</v>
      </c>
      <c r="D238" s="4" t="s">
        <v>644</v>
      </c>
      <c r="G238" s="4" t="s">
        <v>868</v>
      </c>
    </row>
    <row r="239" spans="1:7">
      <c r="A239" s="3"/>
      <c r="C239" s="4" t="s">
        <v>646</v>
      </c>
      <c r="D239" s="4" t="s">
        <v>647</v>
      </c>
      <c r="G239" s="4" t="s">
        <v>869</v>
      </c>
    </row>
    <row r="240" spans="1:7">
      <c r="A240" s="3"/>
      <c r="B240" s="3">
        <v>3.5</v>
      </c>
      <c r="C240" s="4" t="s">
        <v>649</v>
      </c>
    </row>
    <row r="241" spans="1:7">
      <c r="A241" s="3"/>
      <c r="C241" s="3" t="s">
        <v>651</v>
      </c>
      <c r="D241" s="4" t="s">
        <v>652</v>
      </c>
      <c r="G241" s="4" t="s">
        <v>870</v>
      </c>
    </row>
    <row r="242" spans="1:7">
      <c r="A242" s="3"/>
      <c r="C242" s="3" t="s">
        <v>654</v>
      </c>
      <c r="D242" s="5" t="s">
        <v>655</v>
      </c>
      <c r="G242" s="4" t="s">
        <v>871</v>
      </c>
    </row>
    <row r="243" spans="1:7">
      <c r="A243" s="3"/>
      <c r="C243" s="3" t="s">
        <v>658</v>
      </c>
      <c r="D243" s="5" t="s">
        <v>659</v>
      </c>
      <c r="G243" s="4" t="s">
        <v>872</v>
      </c>
    </row>
    <row r="244" spans="1:7">
      <c r="A244" s="3"/>
      <c r="D244" s="3" t="s">
        <v>661</v>
      </c>
      <c r="E244" s="4" t="s">
        <v>662</v>
      </c>
      <c r="G244" s="4" t="s">
        <v>873</v>
      </c>
    </row>
    <row r="245" spans="1:7">
      <c r="A245" s="3"/>
      <c r="D245" s="3" t="s">
        <v>664</v>
      </c>
      <c r="E245" s="4" t="s">
        <v>665</v>
      </c>
      <c r="G245" s="4" t="s">
        <v>874</v>
      </c>
    </row>
    <row r="246" spans="1:7">
      <c r="A246" s="3"/>
      <c r="D246" s="3" t="s">
        <v>666</v>
      </c>
      <c r="E246" s="4" t="s">
        <v>667</v>
      </c>
      <c r="G246" s="4" t="s">
        <v>875</v>
      </c>
    </row>
    <row r="247" spans="1:7">
      <c r="A247" s="3"/>
      <c r="D247" s="3" t="s">
        <v>669</v>
      </c>
      <c r="E247" s="4" t="s">
        <v>670</v>
      </c>
      <c r="G247" s="4" t="s">
        <v>876</v>
      </c>
    </row>
    <row r="248" spans="1:7">
      <c r="A248" s="3"/>
      <c r="B248" s="4">
        <v>3.6</v>
      </c>
      <c r="C248" s="4" t="s">
        <v>672</v>
      </c>
    </row>
    <row r="249" spans="1:7">
      <c r="A249" s="3"/>
      <c r="C249" s="4" t="s">
        <v>674</v>
      </c>
      <c r="D249" s="4" t="s">
        <v>675</v>
      </c>
    </row>
    <row r="250" spans="1:7">
      <c r="A250" s="3"/>
      <c r="D250" s="4" t="s">
        <v>677</v>
      </c>
      <c r="E250" s="4" t="s">
        <v>678</v>
      </c>
      <c r="G250" s="4" t="s">
        <v>877</v>
      </c>
    </row>
    <row r="251" spans="1:7">
      <c r="A251" s="3"/>
      <c r="D251" s="4" t="s">
        <v>680</v>
      </c>
      <c r="E251" s="4" t="s">
        <v>681</v>
      </c>
      <c r="G251" s="4" t="s">
        <v>878</v>
      </c>
    </row>
    <row r="252" spans="1:7">
      <c r="A252" s="3"/>
      <c r="C252" s="4" t="s">
        <v>683</v>
      </c>
      <c r="D252" s="4" t="s">
        <v>684</v>
      </c>
    </row>
    <row r="253" spans="1:7">
      <c r="A253" s="3"/>
      <c r="D253" s="4" t="s">
        <v>686</v>
      </c>
      <c r="E253" s="5" t="s">
        <v>687</v>
      </c>
      <c r="G253" s="4" t="s">
        <v>879</v>
      </c>
    </row>
    <row r="254" spans="1:7">
      <c r="A254" s="3"/>
      <c r="D254" s="4" t="s">
        <v>689</v>
      </c>
      <c r="E254" s="4" t="s">
        <v>690</v>
      </c>
      <c r="G254" s="4" t="s">
        <v>880</v>
      </c>
    </row>
    <row r="255" spans="1:7">
      <c r="A255" s="3"/>
      <c r="D255" s="4" t="s">
        <v>692</v>
      </c>
      <c r="E255" s="4" t="s">
        <v>693</v>
      </c>
      <c r="G255" s="4" t="s">
        <v>881</v>
      </c>
    </row>
    <row r="256" spans="1:7">
      <c r="A256" s="3"/>
      <c r="C256" s="4" t="s">
        <v>695</v>
      </c>
      <c r="D256" s="4" t="s">
        <v>696</v>
      </c>
    </row>
    <row r="257" spans="1:7">
      <c r="A257" s="3"/>
      <c r="D257" s="4" t="s">
        <v>698</v>
      </c>
      <c r="E257" s="5" t="s">
        <v>699</v>
      </c>
      <c r="G257" s="4" t="s">
        <v>882</v>
      </c>
    </row>
    <row r="258" spans="1:7">
      <c r="A258" s="3"/>
      <c r="D258" s="4" t="s">
        <v>701</v>
      </c>
      <c r="E258" s="4" t="s">
        <v>702</v>
      </c>
      <c r="G258" s="4" t="s">
        <v>883</v>
      </c>
    </row>
    <row r="259" spans="1:7">
      <c r="A259" s="3"/>
      <c r="D259" s="4" t="s">
        <v>704</v>
      </c>
      <c r="E259" s="4" t="s">
        <v>705</v>
      </c>
      <c r="G259" s="4" t="s">
        <v>884</v>
      </c>
    </row>
    <row r="260" spans="1:7">
      <c r="A260" s="3"/>
    </row>
    <row r="261" spans="1:7">
      <c r="A261" s="3"/>
    </row>
    <row r="262" spans="1:7">
      <c r="A262" s="3"/>
    </row>
    <row r="263" spans="1:7">
      <c r="A263" s="3"/>
    </row>
    <row r="264" spans="1:7">
      <c r="A264" s="3"/>
    </row>
    <row r="265" spans="1:7">
      <c r="A265" s="3"/>
    </row>
    <row r="266" spans="1:7">
      <c r="A266" s="3"/>
    </row>
    <row r="267" spans="1:7">
      <c r="A267" s="3"/>
    </row>
    <row r="268" spans="1:7">
      <c r="A268" s="3"/>
    </row>
    <row r="269" spans="1:7">
      <c r="A269" s="3"/>
    </row>
    <row r="270" spans="1:7">
      <c r="A270" s="3"/>
    </row>
    <row r="271" spans="1:7">
      <c r="A271" s="3"/>
    </row>
    <row r="272" spans="1:7">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row r="1014" spans="1:1">
      <c r="A1014" s="3"/>
    </row>
    <row r="1015" spans="1:1">
      <c r="A1015" s="3"/>
    </row>
    <row r="1016" spans="1:1">
      <c r="A1016" s="3"/>
    </row>
    <row r="1017" spans="1:1">
      <c r="A1017" s="3"/>
    </row>
    <row r="1018" spans="1:1">
      <c r="A1018" s="3"/>
    </row>
    <row r="1019" spans="1:1">
      <c r="A1019" s="3"/>
    </row>
    <row r="1020" spans="1:1">
      <c r="A1020" s="3"/>
    </row>
    <row r="1021" spans="1:1">
      <c r="A1021" s="3"/>
    </row>
    <row r="1022" spans="1:1">
      <c r="A1022" s="3"/>
    </row>
    <row r="1023" spans="1:1">
      <c r="A1023" s="3"/>
    </row>
    <row r="1024" spans="1:1">
      <c r="A1024" s="3"/>
    </row>
    <row r="1025" spans="1:1">
      <c r="A1025" s="3"/>
    </row>
    <row r="1026" spans="1:1">
      <c r="A1026" s="3"/>
    </row>
    <row r="1027" spans="1:1">
      <c r="A1027" s="3"/>
    </row>
    <row r="1028" spans="1:1">
      <c r="A1028" s="3"/>
    </row>
    <row r="1029" spans="1:1">
      <c r="A1029" s="3"/>
    </row>
    <row r="1030" spans="1:1">
      <c r="A1030" s="3"/>
    </row>
    <row r="1031" spans="1:1">
      <c r="A1031" s="3"/>
    </row>
    <row r="1032" spans="1:1">
      <c r="A1032" s="3"/>
    </row>
    <row r="1033" spans="1:1">
      <c r="A1033" s="3"/>
    </row>
    <row r="1034" spans="1:1">
      <c r="A1034" s="3"/>
    </row>
    <row r="1035" spans="1:1">
      <c r="A1035" s="3"/>
    </row>
    <row r="1036" spans="1:1">
      <c r="A1036" s="3"/>
    </row>
    <row r="1037" spans="1:1">
      <c r="A1037" s="3"/>
    </row>
    <row r="1038" spans="1:1">
      <c r="A1038" s="3"/>
    </row>
    <row r="1039" spans="1:1">
      <c r="A1039" s="3"/>
    </row>
    <row r="1040" spans="1:1">
      <c r="A1040" s="3"/>
    </row>
    <row r="1041" spans="1:1">
      <c r="A1041" s="3"/>
    </row>
    <row r="1042" spans="1:1">
      <c r="A1042" s="3"/>
    </row>
    <row r="1043" spans="1:1">
      <c r="A1043" s="3"/>
    </row>
    <row r="1044" spans="1:1">
      <c r="A1044" s="3"/>
    </row>
  </sheetData>
  <mergeCells count="1">
    <mergeCell ref="A1:F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8C1C-BD04-4C5F-A78A-99EB373E4EDA}">
  <sheetPr>
    <outlinePr summaryBelow="0" summaryRight="0"/>
  </sheetPr>
  <dimension ref="A1:I1044"/>
  <sheetViews>
    <sheetView workbookViewId="0">
      <selection activeCell="G29" sqref="G29"/>
    </sheetView>
  </sheetViews>
  <sheetFormatPr defaultColWidth="12.6640625" defaultRowHeight="15.75" customHeight="1"/>
  <cols>
    <col min="2" max="2" width="4.44140625" customWidth="1"/>
    <col min="3" max="3" width="5.44140625" customWidth="1"/>
    <col min="4" max="4" width="7.6640625" customWidth="1"/>
    <col min="5" max="5" width="9.109375" customWidth="1"/>
    <col min="6" max="6" width="38.44140625" customWidth="1"/>
    <col min="7" max="7" width="48.6640625" customWidth="1"/>
    <col min="8" max="8" width="80.88671875" customWidth="1"/>
    <col min="9" max="9" width="15.33203125" bestFit="1" customWidth="1"/>
    <col min="10" max="10" width="15.109375" customWidth="1"/>
  </cols>
  <sheetData>
    <row r="1" spans="1:9">
      <c r="A1" s="54" t="s">
        <v>0</v>
      </c>
      <c r="B1" s="55"/>
      <c r="C1" s="55"/>
      <c r="D1" s="55"/>
      <c r="E1" s="55"/>
      <c r="F1" s="55"/>
      <c r="G1" s="1" t="s">
        <v>1</v>
      </c>
      <c r="H1" s="2" t="s">
        <v>2</v>
      </c>
      <c r="I1" s="10" t="s">
        <v>707</v>
      </c>
    </row>
    <row r="2" spans="1:9">
      <c r="A2" s="3">
        <v>1</v>
      </c>
      <c r="B2" s="4" t="s">
        <v>3</v>
      </c>
    </row>
    <row r="3" spans="1:9">
      <c r="A3" s="3"/>
      <c r="B3" s="3">
        <v>1.1000000000000001</v>
      </c>
      <c r="C3" s="4" t="s">
        <v>4</v>
      </c>
      <c r="G3" s="4" t="s">
        <v>713</v>
      </c>
    </row>
    <row r="4" spans="1:9">
      <c r="A4" s="3"/>
      <c r="B4" s="3"/>
      <c r="C4" s="4" t="s">
        <v>6</v>
      </c>
      <c r="D4" s="4" t="s">
        <v>7</v>
      </c>
      <c r="G4" s="4" t="s">
        <v>714</v>
      </c>
    </row>
    <row r="5" spans="1:9">
      <c r="A5" s="3"/>
      <c r="B5" s="3"/>
      <c r="C5" s="4" t="s">
        <v>9</v>
      </c>
      <c r="D5" s="4" t="s">
        <v>10</v>
      </c>
      <c r="G5" s="4" t="s">
        <v>715</v>
      </c>
    </row>
    <row r="6" spans="1:9">
      <c r="A6" s="3"/>
      <c r="B6" s="3">
        <v>1.2</v>
      </c>
      <c r="C6" s="4" t="s">
        <v>12</v>
      </c>
    </row>
    <row r="7" spans="1:9">
      <c r="A7" s="3"/>
      <c r="B7" s="3"/>
      <c r="C7" s="4" t="s">
        <v>13</v>
      </c>
      <c r="D7" s="4" t="s">
        <v>14</v>
      </c>
      <c r="G7" s="4" t="s">
        <v>716</v>
      </c>
    </row>
    <row r="8" spans="1:9">
      <c r="A8" s="3"/>
      <c r="B8" s="3"/>
      <c r="D8" s="3" t="s">
        <v>16</v>
      </c>
      <c r="E8" s="4" t="s">
        <v>17</v>
      </c>
      <c r="G8" s="4" t="s">
        <v>717</v>
      </c>
    </row>
    <row r="9" spans="1:9">
      <c r="A9" s="3"/>
      <c r="B9" s="3"/>
      <c r="C9" s="4"/>
      <c r="D9" s="3" t="s">
        <v>19</v>
      </c>
      <c r="E9" s="4" t="s">
        <v>20</v>
      </c>
      <c r="G9" s="4" t="s">
        <v>718</v>
      </c>
    </row>
    <row r="10" spans="1:9">
      <c r="A10" s="3"/>
      <c r="B10" s="3"/>
      <c r="C10" s="4" t="s">
        <v>22</v>
      </c>
      <c r="D10" s="4" t="s">
        <v>23</v>
      </c>
    </row>
    <row r="11" spans="1:9">
      <c r="A11" s="3"/>
      <c r="B11" s="3"/>
      <c r="D11" s="3" t="s">
        <v>25</v>
      </c>
      <c r="E11" s="4" t="s">
        <v>26</v>
      </c>
      <c r="G11" s="4" t="s">
        <v>719</v>
      </c>
    </row>
    <row r="12" spans="1:9">
      <c r="A12" s="3"/>
      <c r="B12" s="3"/>
      <c r="D12" s="3" t="s">
        <v>28</v>
      </c>
      <c r="E12" s="4" t="s">
        <v>29</v>
      </c>
      <c r="G12" s="4" t="s">
        <v>720</v>
      </c>
    </row>
    <row r="13" spans="1:9">
      <c r="A13" s="3"/>
      <c r="B13" s="3"/>
      <c r="D13" s="3" t="s">
        <v>31</v>
      </c>
      <c r="E13" s="4" t="s">
        <v>32</v>
      </c>
      <c r="G13" s="4" t="s">
        <v>721</v>
      </c>
    </row>
    <row r="14" spans="1:9">
      <c r="A14" s="3"/>
      <c r="B14" s="3"/>
      <c r="D14" s="3" t="s">
        <v>34</v>
      </c>
      <c r="E14" s="4" t="s">
        <v>35</v>
      </c>
      <c r="G14" s="4" t="s">
        <v>722</v>
      </c>
    </row>
    <row r="15" spans="1:9">
      <c r="A15" s="3"/>
      <c r="B15" s="3">
        <v>1.3</v>
      </c>
      <c r="C15" s="4" t="s">
        <v>37</v>
      </c>
    </row>
    <row r="16" spans="1:9">
      <c r="A16" s="3"/>
      <c r="B16" s="3"/>
      <c r="C16" s="4" t="s">
        <v>38</v>
      </c>
      <c r="D16" s="4" t="s">
        <v>39</v>
      </c>
    </row>
    <row r="17" spans="1:7">
      <c r="A17" s="3"/>
      <c r="B17" s="3"/>
      <c r="D17" s="3" t="s">
        <v>40</v>
      </c>
      <c r="E17" s="4" t="s">
        <v>41</v>
      </c>
      <c r="G17" s="4" t="s">
        <v>723</v>
      </c>
    </row>
    <row r="18" spans="1:7">
      <c r="A18" s="3"/>
      <c r="B18" s="3"/>
      <c r="D18" s="3" t="s">
        <v>43</v>
      </c>
      <c r="E18" s="4" t="s">
        <v>44</v>
      </c>
      <c r="G18" s="4" t="s">
        <v>724</v>
      </c>
    </row>
    <row r="19" spans="1:7">
      <c r="A19" s="3"/>
      <c r="B19" s="3"/>
      <c r="D19" s="3" t="s">
        <v>46</v>
      </c>
      <c r="E19" s="4" t="s">
        <v>47</v>
      </c>
      <c r="G19" s="4" t="s">
        <v>725</v>
      </c>
    </row>
    <row r="20" spans="1:7">
      <c r="A20" s="3"/>
      <c r="B20" s="3"/>
      <c r="D20" s="3" t="s">
        <v>49</v>
      </c>
      <c r="E20" s="4" t="s">
        <v>50</v>
      </c>
      <c r="G20" s="4" t="s">
        <v>726</v>
      </c>
    </row>
    <row r="21" spans="1:7">
      <c r="A21" s="3"/>
      <c r="B21" s="3"/>
      <c r="D21" s="3" t="s">
        <v>52</v>
      </c>
      <c r="E21" s="4" t="s">
        <v>53</v>
      </c>
      <c r="G21" s="4" t="s">
        <v>727</v>
      </c>
    </row>
    <row r="22" spans="1:7">
      <c r="A22" s="3"/>
      <c r="B22" s="3"/>
      <c r="D22" s="3" t="s">
        <v>55</v>
      </c>
      <c r="E22" s="4" t="s">
        <v>56</v>
      </c>
      <c r="G22" s="4" t="s">
        <v>728</v>
      </c>
    </row>
    <row r="23" spans="1:7">
      <c r="A23" s="3"/>
      <c r="B23" s="3"/>
      <c r="C23" s="4" t="s">
        <v>58</v>
      </c>
      <c r="D23" s="4" t="s">
        <v>59</v>
      </c>
    </row>
    <row r="24" spans="1:7">
      <c r="A24" s="3"/>
      <c r="B24" s="3"/>
      <c r="D24" s="3" t="s">
        <v>60</v>
      </c>
      <c r="E24" s="4" t="s">
        <v>61</v>
      </c>
      <c r="G24" s="4" t="s">
        <v>729</v>
      </c>
    </row>
    <row r="25" spans="1:7">
      <c r="A25" s="3"/>
      <c r="B25" s="3"/>
      <c r="D25" s="3" t="s">
        <v>63</v>
      </c>
      <c r="E25" s="4" t="s">
        <v>64</v>
      </c>
      <c r="G25" s="4" t="s">
        <v>730</v>
      </c>
    </row>
    <row r="26" spans="1:7">
      <c r="A26" s="3"/>
      <c r="B26" s="3"/>
      <c r="D26" s="3"/>
      <c r="E26" s="3" t="s">
        <v>66</v>
      </c>
      <c r="F26" s="4" t="s">
        <v>67</v>
      </c>
      <c r="G26" s="4" t="s">
        <v>731</v>
      </c>
    </row>
    <row r="27" spans="1:7">
      <c r="A27" s="3"/>
      <c r="B27" s="3"/>
      <c r="D27" s="3"/>
      <c r="E27" s="3" t="s">
        <v>69</v>
      </c>
      <c r="F27" s="4" t="s">
        <v>70</v>
      </c>
      <c r="G27" s="4" t="s">
        <v>732</v>
      </c>
    </row>
    <row r="28" spans="1:7">
      <c r="A28" s="3"/>
      <c r="B28" s="3"/>
      <c r="D28" s="3" t="s">
        <v>72</v>
      </c>
      <c r="E28" s="4" t="s">
        <v>73</v>
      </c>
      <c r="G28" s="4" t="s">
        <v>74</v>
      </c>
    </row>
    <row r="29" spans="1:7">
      <c r="A29" s="3"/>
      <c r="B29" s="3"/>
      <c r="C29" s="4"/>
      <c r="D29" s="4"/>
      <c r="E29" s="3" t="s">
        <v>75</v>
      </c>
      <c r="F29" s="4" t="s">
        <v>76</v>
      </c>
      <c r="G29" s="4" t="s">
        <v>77</v>
      </c>
    </row>
    <row r="30" spans="1:7">
      <c r="A30" s="3"/>
      <c r="B30" s="3"/>
      <c r="C30" s="4"/>
      <c r="D30" s="4"/>
      <c r="E30" s="3" t="s">
        <v>78</v>
      </c>
      <c r="F30" s="4" t="s">
        <v>79</v>
      </c>
      <c r="G30" s="4" t="s">
        <v>733</v>
      </c>
    </row>
    <row r="31" spans="1:7">
      <c r="A31" s="3"/>
      <c r="B31" s="3"/>
      <c r="C31" s="4" t="s">
        <v>81</v>
      </c>
      <c r="D31" s="4" t="s">
        <v>82</v>
      </c>
    </row>
    <row r="32" spans="1:7">
      <c r="A32" s="3"/>
      <c r="B32" s="3"/>
      <c r="D32" s="3" t="s">
        <v>83</v>
      </c>
      <c r="E32" s="4" t="s">
        <v>84</v>
      </c>
      <c r="G32" s="4" t="s">
        <v>734</v>
      </c>
    </row>
    <row r="33" spans="1:7">
      <c r="A33" s="3"/>
      <c r="B33" s="3"/>
      <c r="D33" s="3" t="s">
        <v>86</v>
      </c>
      <c r="E33" s="4" t="s">
        <v>87</v>
      </c>
      <c r="G33" s="4" t="s">
        <v>735</v>
      </c>
    </row>
    <row r="34" spans="1:7">
      <c r="A34" s="3"/>
      <c r="B34" s="3"/>
      <c r="D34" s="3" t="s">
        <v>89</v>
      </c>
      <c r="E34" s="4" t="s">
        <v>90</v>
      </c>
      <c r="G34" s="4" t="s">
        <v>736</v>
      </c>
    </row>
    <row r="35" spans="1:7">
      <c r="A35" s="3"/>
      <c r="B35" s="3"/>
      <c r="D35" s="3" t="s">
        <v>92</v>
      </c>
      <c r="E35" s="4" t="s">
        <v>93</v>
      </c>
      <c r="G35" s="4" t="s">
        <v>737</v>
      </c>
    </row>
    <row r="36" spans="1:7">
      <c r="A36" s="3"/>
      <c r="B36" s="3"/>
      <c r="D36" s="3" t="s">
        <v>95</v>
      </c>
      <c r="E36" s="4" t="s">
        <v>96</v>
      </c>
      <c r="G36" s="4" t="s">
        <v>738</v>
      </c>
    </row>
    <row r="37" spans="1:7">
      <c r="A37" s="3"/>
      <c r="B37" s="3"/>
      <c r="D37" s="3" t="s">
        <v>98</v>
      </c>
      <c r="E37" s="4" t="s">
        <v>99</v>
      </c>
      <c r="G37" s="4" t="s">
        <v>739</v>
      </c>
    </row>
    <row r="38" spans="1:7">
      <c r="A38" s="3"/>
      <c r="B38" s="3">
        <v>1.4</v>
      </c>
      <c r="C38" s="4" t="s">
        <v>101</v>
      </c>
    </row>
    <row r="39" spans="1:7">
      <c r="A39" s="3"/>
      <c r="B39" s="3"/>
      <c r="C39" s="4" t="s">
        <v>102</v>
      </c>
      <c r="D39" s="4" t="s">
        <v>103</v>
      </c>
    </row>
    <row r="40" spans="1:7">
      <c r="A40" s="3"/>
      <c r="B40" s="3"/>
      <c r="D40" s="3" t="s">
        <v>105</v>
      </c>
      <c r="E40" s="4" t="s">
        <v>106</v>
      </c>
      <c r="G40" s="4" t="s">
        <v>740</v>
      </c>
    </row>
    <row r="41" spans="1:7">
      <c r="A41" s="3"/>
      <c r="B41" s="3"/>
      <c r="D41" s="3" t="s">
        <v>108</v>
      </c>
      <c r="E41" s="4" t="s">
        <v>109</v>
      </c>
      <c r="G41" s="4" t="s">
        <v>741</v>
      </c>
    </row>
    <row r="42" spans="1:7">
      <c r="A42" s="3"/>
      <c r="B42" s="3"/>
      <c r="C42" s="4" t="s">
        <v>111</v>
      </c>
      <c r="D42" s="4" t="s">
        <v>112</v>
      </c>
    </row>
    <row r="43" spans="1:7">
      <c r="A43" s="3"/>
      <c r="B43" s="3"/>
      <c r="D43" s="3" t="s">
        <v>114</v>
      </c>
      <c r="E43" s="4" t="s">
        <v>115</v>
      </c>
      <c r="G43" s="4" t="s">
        <v>742</v>
      </c>
    </row>
    <row r="44" spans="1:7">
      <c r="A44" s="3"/>
      <c r="B44" s="3"/>
      <c r="D44" s="3" t="s">
        <v>117</v>
      </c>
      <c r="E44" s="4" t="s">
        <v>118</v>
      </c>
      <c r="G44" s="4" t="s">
        <v>743</v>
      </c>
    </row>
    <row r="45" spans="1:7">
      <c r="A45" s="3"/>
      <c r="B45" s="3"/>
      <c r="D45" s="3" t="s">
        <v>120</v>
      </c>
      <c r="E45" s="4" t="s">
        <v>121</v>
      </c>
      <c r="G45" s="4" t="s">
        <v>744</v>
      </c>
    </row>
    <row r="46" spans="1:7">
      <c r="A46" s="3"/>
      <c r="B46" s="3">
        <v>1.5</v>
      </c>
      <c r="C46" s="4" t="s">
        <v>123</v>
      </c>
      <c r="D46" s="3"/>
    </row>
    <row r="47" spans="1:7">
      <c r="A47" s="3"/>
      <c r="B47" s="3"/>
      <c r="C47" s="4" t="s">
        <v>124</v>
      </c>
      <c r="D47" s="3" t="s">
        <v>125</v>
      </c>
    </row>
    <row r="48" spans="1:7">
      <c r="A48" s="3"/>
      <c r="B48" s="3"/>
      <c r="D48" s="3" t="s">
        <v>127</v>
      </c>
      <c r="E48" s="4" t="s">
        <v>128</v>
      </c>
      <c r="G48" s="4" t="s">
        <v>745</v>
      </c>
    </row>
    <row r="49" spans="1:8">
      <c r="A49" s="3"/>
      <c r="B49" s="3"/>
      <c r="D49" s="3" t="s">
        <v>130</v>
      </c>
      <c r="E49" s="4" t="s">
        <v>131</v>
      </c>
      <c r="G49" s="4" t="s">
        <v>746</v>
      </c>
    </row>
    <row r="50" spans="1:8">
      <c r="A50" s="3"/>
      <c r="B50" s="3"/>
      <c r="D50" s="3" t="s">
        <v>133</v>
      </c>
      <c r="E50" s="4" t="s">
        <v>134</v>
      </c>
      <c r="G50" s="4" t="s">
        <v>747</v>
      </c>
    </row>
    <row r="51" spans="1:8">
      <c r="A51" s="3"/>
      <c r="B51" s="3"/>
      <c r="C51" s="4" t="s">
        <v>136</v>
      </c>
      <c r="D51" s="5" t="s">
        <v>137</v>
      </c>
    </row>
    <row r="52" spans="1:8">
      <c r="A52" s="3"/>
      <c r="D52" s="3" t="s">
        <v>139</v>
      </c>
      <c r="E52" s="4" t="s">
        <v>140</v>
      </c>
      <c r="G52" s="4" t="s">
        <v>748</v>
      </c>
    </row>
    <row r="53" spans="1:8">
      <c r="A53" s="3"/>
      <c r="C53" s="4" t="s">
        <v>142</v>
      </c>
      <c r="D53" s="5" t="s">
        <v>143</v>
      </c>
    </row>
    <row r="54" spans="1:8">
      <c r="A54" s="3"/>
      <c r="D54" s="3" t="s">
        <v>145</v>
      </c>
      <c r="E54" s="4" t="s">
        <v>146</v>
      </c>
      <c r="G54" s="4" t="s">
        <v>749</v>
      </c>
    </row>
    <row r="55" spans="1:8">
      <c r="A55" s="3"/>
      <c r="C55" s="4" t="s">
        <v>148</v>
      </c>
      <c r="D55" s="3" t="s">
        <v>149</v>
      </c>
    </row>
    <row r="56" spans="1:8">
      <c r="A56" s="3"/>
      <c r="D56" s="3" t="s">
        <v>151</v>
      </c>
      <c r="E56" s="4" t="s">
        <v>152</v>
      </c>
      <c r="G56" s="4" t="s">
        <v>750</v>
      </c>
    </row>
    <row r="57" spans="1:8">
      <c r="A57" s="3"/>
      <c r="D57" s="3" t="s">
        <v>154</v>
      </c>
      <c r="E57" s="4" t="s">
        <v>155</v>
      </c>
      <c r="G57" s="4" t="s">
        <v>751</v>
      </c>
    </row>
    <row r="58" spans="1:8">
      <c r="A58" s="3"/>
      <c r="C58" s="6" t="s">
        <v>157</v>
      </c>
      <c r="D58" s="7" t="s">
        <v>158</v>
      </c>
      <c r="E58" s="6"/>
      <c r="F58" s="6"/>
      <c r="G58" s="6"/>
      <c r="H58" s="6"/>
    </row>
    <row r="59" spans="1:8">
      <c r="A59" s="3"/>
      <c r="D59" s="3" t="s">
        <v>160</v>
      </c>
      <c r="E59" s="4" t="s">
        <v>161</v>
      </c>
      <c r="G59" s="4" t="s">
        <v>752</v>
      </c>
    </row>
    <row r="60" spans="1:8">
      <c r="A60" s="3"/>
      <c r="D60" s="3" t="s">
        <v>163</v>
      </c>
      <c r="E60" s="4" t="s">
        <v>164</v>
      </c>
      <c r="G60" s="4" t="s">
        <v>753</v>
      </c>
    </row>
    <row r="61" spans="1:8">
      <c r="A61" s="3"/>
      <c r="B61" s="4">
        <v>1.6</v>
      </c>
      <c r="C61" s="4" t="s">
        <v>166</v>
      </c>
      <c r="D61" s="3"/>
    </row>
    <row r="62" spans="1:8">
      <c r="A62" s="3"/>
      <c r="C62" s="4" t="s">
        <v>167</v>
      </c>
      <c r="D62" s="4" t="s">
        <v>168</v>
      </c>
    </row>
    <row r="63" spans="1:8">
      <c r="A63" s="3"/>
      <c r="D63" s="3" t="s">
        <v>169</v>
      </c>
      <c r="E63" s="4" t="s">
        <v>170</v>
      </c>
      <c r="G63" s="4" t="s">
        <v>754</v>
      </c>
    </row>
    <row r="64" spans="1:8">
      <c r="A64" s="3"/>
      <c r="D64" s="3" t="s">
        <v>172</v>
      </c>
      <c r="E64" s="4" t="s">
        <v>173</v>
      </c>
      <c r="G64" s="4" t="s">
        <v>755</v>
      </c>
    </row>
    <row r="65" spans="1:7">
      <c r="A65" s="3"/>
      <c r="D65" s="3" t="s">
        <v>175</v>
      </c>
      <c r="E65" s="4" t="s">
        <v>176</v>
      </c>
      <c r="G65" s="4" t="s">
        <v>756</v>
      </c>
    </row>
    <row r="66" spans="1:7">
      <c r="A66" s="3"/>
      <c r="D66" s="3" t="s">
        <v>178</v>
      </c>
      <c r="E66" s="4" t="s">
        <v>179</v>
      </c>
      <c r="G66" s="4" t="s">
        <v>757</v>
      </c>
    </row>
    <row r="67" spans="1:7">
      <c r="A67" s="3"/>
      <c r="B67" s="4">
        <v>1.7</v>
      </c>
      <c r="C67" s="4" t="s">
        <v>181</v>
      </c>
    </row>
    <row r="68" spans="1:7">
      <c r="A68" s="3"/>
      <c r="C68" s="4" t="s">
        <v>182</v>
      </c>
      <c r="D68" s="4" t="s">
        <v>183</v>
      </c>
    </row>
    <row r="69" spans="1:7">
      <c r="A69" s="3"/>
      <c r="D69" s="3" t="s">
        <v>185</v>
      </c>
      <c r="E69" s="4" t="s">
        <v>186</v>
      </c>
      <c r="G69" s="4" t="s">
        <v>758</v>
      </c>
    </row>
    <row r="70" spans="1:7">
      <c r="A70" s="3"/>
      <c r="C70" s="4" t="s">
        <v>188</v>
      </c>
      <c r="D70" s="4" t="s">
        <v>189</v>
      </c>
    </row>
    <row r="71" spans="1:7">
      <c r="A71" s="3"/>
      <c r="D71" s="3" t="s">
        <v>191</v>
      </c>
      <c r="E71" s="4" t="s">
        <v>192</v>
      </c>
      <c r="G71" s="4" t="s">
        <v>759</v>
      </c>
    </row>
    <row r="72" spans="1:7">
      <c r="A72" s="3"/>
      <c r="C72" s="4" t="s">
        <v>194</v>
      </c>
      <c r="D72" s="4" t="s">
        <v>195</v>
      </c>
    </row>
    <row r="73" spans="1:7">
      <c r="A73" s="3"/>
      <c r="D73" s="3" t="s">
        <v>197</v>
      </c>
      <c r="E73" s="4" t="s">
        <v>198</v>
      </c>
      <c r="G73" s="4" t="s">
        <v>760</v>
      </c>
    </row>
    <row r="74" spans="1:7">
      <c r="A74" s="3"/>
      <c r="D74" s="3" t="s">
        <v>200</v>
      </c>
      <c r="E74" s="4" t="s">
        <v>201</v>
      </c>
      <c r="G74" s="4" t="s">
        <v>761</v>
      </c>
    </row>
    <row r="75" spans="1:7">
      <c r="A75" s="3">
        <v>2</v>
      </c>
      <c r="B75" s="4" t="s">
        <v>203</v>
      </c>
    </row>
    <row r="76" spans="1:7">
      <c r="A76" s="3"/>
      <c r="B76" s="3">
        <v>2.1</v>
      </c>
      <c r="C76" s="4" t="s">
        <v>204</v>
      </c>
    </row>
    <row r="77" spans="1:7">
      <c r="A77" s="3"/>
      <c r="B77" s="3"/>
      <c r="C77" s="4" t="s">
        <v>205</v>
      </c>
      <c r="D77" s="4" t="s">
        <v>206</v>
      </c>
      <c r="G77" s="4" t="s">
        <v>762</v>
      </c>
    </row>
    <row r="78" spans="1:7">
      <c r="A78" s="3"/>
      <c r="B78" s="3"/>
      <c r="D78" s="3" t="s">
        <v>208</v>
      </c>
      <c r="E78" s="5" t="s">
        <v>209</v>
      </c>
      <c r="G78" s="4" t="s">
        <v>763</v>
      </c>
    </row>
    <row r="79" spans="1:7">
      <c r="A79" s="3"/>
      <c r="B79" s="3"/>
      <c r="D79" s="3" t="s">
        <v>210</v>
      </c>
      <c r="E79" s="5" t="s">
        <v>211</v>
      </c>
      <c r="G79" s="4" t="s">
        <v>74</v>
      </c>
    </row>
    <row r="80" spans="1:7">
      <c r="A80" s="3"/>
      <c r="B80" s="3"/>
      <c r="C80" s="4" t="s">
        <v>212</v>
      </c>
      <c r="D80" s="4" t="s">
        <v>213</v>
      </c>
      <c r="E80" s="3"/>
    </row>
    <row r="81" spans="1:7">
      <c r="A81" s="3"/>
      <c r="B81" s="3"/>
      <c r="D81" s="3" t="s">
        <v>214</v>
      </c>
      <c r="E81" s="5" t="s">
        <v>215</v>
      </c>
      <c r="G81" s="4" t="s">
        <v>764</v>
      </c>
    </row>
    <row r="82" spans="1:7">
      <c r="A82" s="3"/>
      <c r="B82" s="3"/>
      <c r="D82" s="3" t="s">
        <v>217</v>
      </c>
      <c r="E82" s="5" t="s">
        <v>218</v>
      </c>
      <c r="G82" s="4" t="s">
        <v>765</v>
      </c>
    </row>
    <row r="83" spans="1:7">
      <c r="A83" s="3"/>
      <c r="B83" s="3"/>
      <c r="D83" s="3" t="s">
        <v>220</v>
      </c>
      <c r="E83" s="5" t="s">
        <v>221</v>
      </c>
      <c r="G83" s="4" t="s">
        <v>766</v>
      </c>
    </row>
    <row r="84" spans="1:7">
      <c r="A84" s="3"/>
      <c r="B84" s="3"/>
      <c r="D84" s="3" t="s">
        <v>223</v>
      </c>
      <c r="E84" s="5" t="s">
        <v>224</v>
      </c>
      <c r="G84" s="4" t="s">
        <v>767</v>
      </c>
    </row>
    <row r="85" spans="1:7">
      <c r="A85" s="3"/>
      <c r="B85" s="3"/>
      <c r="C85" s="4" t="s">
        <v>226</v>
      </c>
      <c r="D85" s="5" t="s">
        <v>227</v>
      </c>
      <c r="E85" s="3"/>
    </row>
    <row r="86" spans="1:7">
      <c r="A86" s="3"/>
      <c r="B86" s="3"/>
      <c r="D86" s="3" t="s">
        <v>228</v>
      </c>
      <c r="E86" s="5" t="s">
        <v>14</v>
      </c>
    </row>
    <row r="87" spans="1:7">
      <c r="A87" s="3"/>
      <c r="B87" s="3"/>
      <c r="E87" s="3" t="s">
        <v>229</v>
      </c>
      <c r="F87" s="5" t="s">
        <v>230</v>
      </c>
      <c r="G87" s="4" t="s">
        <v>768</v>
      </c>
    </row>
    <row r="88" spans="1:7">
      <c r="A88" s="3"/>
      <c r="B88" s="3"/>
      <c r="D88" s="3"/>
      <c r="E88" s="3" t="s">
        <v>232</v>
      </c>
      <c r="F88" s="5" t="s">
        <v>233</v>
      </c>
      <c r="G88" s="4" t="s">
        <v>769</v>
      </c>
    </row>
    <row r="89" spans="1:7">
      <c r="A89" s="3"/>
      <c r="B89" s="3"/>
      <c r="D89" s="3"/>
      <c r="E89" s="3" t="s">
        <v>235</v>
      </c>
      <c r="F89" s="5" t="s">
        <v>236</v>
      </c>
      <c r="G89" s="4" t="s">
        <v>770</v>
      </c>
    </row>
    <row r="90" spans="1:7">
      <c r="A90" s="3"/>
      <c r="B90" s="3"/>
      <c r="D90" s="3" t="s">
        <v>238</v>
      </c>
      <c r="E90" s="5" t="s">
        <v>239</v>
      </c>
    </row>
    <row r="91" spans="1:7">
      <c r="A91" s="3"/>
      <c r="B91" s="3"/>
      <c r="D91" s="3"/>
      <c r="E91" s="3" t="s">
        <v>240</v>
      </c>
      <c r="F91" s="4" t="s">
        <v>241</v>
      </c>
      <c r="G91" s="4" t="s">
        <v>771</v>
      </c>
    </row>
    <row r="92" spans="1:7">
      <c r="A92" s="3"/>
      <c r="B92" s="3"/>
      <c r="D92" s="3"/>
      <c r="E92" s="3" t="s">
        <v>243</v>
      </c>
      <c r="F92" s="4" t="s">
        <v>244</v>
      </c>
      <c r="G92" s="4" t="s">
        <v>772</v>
      </c>
    </row>
    <row r="93" spans="1:7">
      <c r="A93" s="3"/>
      <c r="B93" s="3">
        <v>2.2000000000000002</v>
      </c>
      <c r="C93" s="4" t="s">
        <v>246</v>
      </c>
      <c r="D93" s="3"/>
      <c r="E93" s="3"/>
    </row>
    <row r="94" spans="1:7">
      <c r="A94" s="3"/>
      <c r="B94" s="3"/>
      <c r="C94" s="4" t="s">
        <v>247</v>
      </c>
      <c r="D94" s="5" t="s">
        <v>248</v>
      </c>
      <c r="E94" s="3"/>
    </row>
    <row r="95" spans="1:7">
      <c r="A95" s="3"/>
      <c r="B95" s="3"/>
      <c r="D95" s="3" t="s">
        <v>249</v>
      </c>
      <c r="E95" s="5" t="s">
        <v>250</v>
      </c>
      <c r="G95" s="4" t="s">
        <v>773</v>
      </c>
    </row>
    <row r="96" spans="1:7">
      <c r="A96" s="3"/>
      <c r="B96" s="3"/>
      <c r="D96" s="3" t="s">
        <v>252</v>
      </c>
      <c r="E96" s="5" t="s">
        <v>253</v>
      </c>
      <c r="G96" s="4" t="s">
        <v>774</v>
      </c>
    </row>
    <row r="97" spans="1:7">
      <c r="A97" s="3"/>
      <c r="B97" s="3"/>
      <c r="C97" s="4" t="s">
        <v>255</v>
      </c>
      <c r="D97" s="5" t="s">
        <v>256</v>
      </c>
    </row>
    <row r="98" spans="1:7">
      <c r="A98" s="3"/>
      <c r="B98" s="3"/>
      <c r="D98" s="3" t="s">
        <v>257</v>
      </c>
      <c r="E98" s="4" t="s">
        <v>258</v>
      </c>
      <c r="G98" s="4" t="s">
        <v>259</v>
      </c>
    </row>
    <row r="99" spans="1:7">
      <c r="A99" s="3"/>
      <c r="B99" s="3"/>
      <c r="D99" s="3" t="s">
        <v>260</v>
      </c>
      <c r="E99" s="4" t="s">
        <v>261</v>
      </c>
      <c r="G99" s="4" t="s">
        <v>775</v>
      </c>
    </row>
    <row r="100" spans="1:7">
      <c r="A100" s="3"/>
      <c r="B100" s="3"/>
      <c r="D100" s="3" t="s">
        <v>262</v>
      </c>
      <c r="E100" s="4" t="s">
        <v>263</v>
      </c>
      <c r="G100" s="4" t="s">
        <v>776</v>
      </c>
    </row>
    <row r="101" spans="1:7">
      <c r="A101" s="3"/>
      <c r="B101" s="3"/>
      <c r="C101" s="4" t="s">
        <v>265</v>
      </c>
      <c r="D101" s="5" t="s">
        <v>266</v>
      </c>
    </row>
    <row r="102" spans="1:7">
      <c r="A102" s="3"/>
      <c r="B102" s="3"/>
      <c r="D102" s="3" t="s">
        <v>267</v>
      </c>
      <c r="E102" s="5" t="s">
        <v>268</v>
      </c>
    </row>
    <row r="103" spans="1:7">
      <c r="A103" s="3"/>
      <c r="B103" s="3"/>
      <c r="D103" s="3"/>
      <c r="E103" s="4" t="s">
        <v>269</v>
      </c>
      <c r="F103" s="4" t="s">
        <v>270</v>
      </c>
      <c r="G103" s="4" t="s">
        <v>777</v>
      </c>
    </row>
    <row r="104" spans="1:7">
      <c r="A104" s="3"/>
      <c r="B104" s="3"/>
      <c r="D104" s="3"/>
      <c r="E104" s="4" t="s">
        <v>272</v>
      </c>
      <c r="F104" s="4" t="s">
        <v>273</v>
      </c>
      <c r="G104" s="4" t="s">
        <v>778</v>
      </c>
    </row>
    <row r="105" spans="1:7">
      <c r="A105" s="3"/>
      <c r="B105" s="3"/>
      <c r="D105" s="3"/>
      <c r="E105" s="4" t="s">
        <v>275</v>
      </c>
      <c r="F105" s="4" t="s">
        <v>276</v>
      </c>
      <c r="G105" s="4" t="s">
        <v>779</v>
      </c>
    </row>
    <row r="106" spans="1:7">
      <c r="A106" s="3"/>
      <c r="B106" s="3"/>
      <c r="D106" s="3"/>
      <c r="E106" s="4" t="s">
        <v>278</v>
      </c>
      <c r="F106" s="4" t="s">
        <v>279</v>
      </c>
      <c r="G106" s="4" t="s">
        <v>780</v>
      </c>
    </row>
    <row r="107" spans="1:7">
      <c r="A107" s="3"/>
      <c r="B107" s="3"/>
      <c r="D107" s="3" t="s">
        <v>281</v>
      </c>
      <c r="E107" s="5" t="s">
        <v>282</v>
      </c>
    </row>
    <row r="108" spans="1:7">
      <c r="A108" s="3"/>
      <c r="B108" s="3"/>
      <c r="D108" s="3"/>
      <c r="E108" s="3" t="s">
        <v>283</v>
      </c>
      <c r="F108" s="4" t="s">
        <v>284</v>
      </c>
      <c r="G108" s="4" t="s">
        <v>781</v>
      </c>
    </row>
    <row r="109" spans="1:7">
      <c r="A109" s="3"/>
      <c r="B109" s="3"/>
      <c r="D109" s="3"/>
      <c r="E109" s="3" t="s">
        <v>286</v>
      </c>
      <c r="F109" s="4" t="s">
        <v>287</v>
      </c>
      <c r="G109" s="4" t="s">
        <v>782</v>
      </c>
    </row>
    <row r="110" spans="1:7">
      <c r="A110" s="3"/>
      <c r="B110" s="3"/>
      <c r="D110" s="3"/>
      <c r="E110" s="3" t="s">
        <v>289</v>
      </c>
      <c r="F110" s="4" t="s">
        <v>290</v>
      </c>
      <c r="G110" s="4" t="s">
        <v>783</v>
      </c>
    </row>
    <row r="111" spans="1:7">
      <c r="A111" s="3"/>
      <c r="B111" s="3"/>
      <c r="D111" s="3"/>
      <c r="E111" s="3" t="s">
        <v>292</v>
      </c>
      <c r="F111" s="4" t="s">
        <v>293</v>
      </c>
      <c r="G111" s="4" t="s">
        <v>784</v>
      </c>
    </row>
    <row r="112" spans="1:7">
      <c r="A112" s="3"/>
      <c r="B112" s="3"/>
      <c r="D112" s="3"/>
      <c r="E112" s="3" t="s">
        <v>295</v>
      </c>
      <c r="F112" s="4" t="s">
        <v>296</v>
      </c>
      <c r="G112" s="4" t="s">
        <v>785</v>
      </c>
    </row>
    <row r="113" spans="1:7">
      <c r="A113" s="3"/>
      <c r="B113" s="3"/>
      <c r="D113" s="3"/>
      <c r="E113" s="3" t="s">
        <v>298</v>
      </c>
      <c r="F113" s="4" t="s">
        <v>299</v>
      </c>
      <c r="G113" s="4" t="s">
        <v>786</v>
      </c>
    </row>
    <row r="114" spans="1:7">
      <c r="A114" s="3"/>
      <c r="B114" s="3">
        <v>2.2999999999999998</v>
      </c>
      <c r="C114" s="4" t="s">
        <v>301</v>
      </c>
      <c r="D114" s="3"/>
      <c r="E114" s="3"/>
    </row>
    <row r="115" spans="1:7">
      <c r="A115" s="3"/>
      <c r="B115" s="3"/>
      <c r="C115" s="4" t="s">
        <v>302</v>
      </c>
      <c r="D115" s="5" t="s">
        <v>303</v>
      </c>
    </row>
    <row r="116" spans="1:7">
      <c r="A116" s="3"/>
      <c r="B116" s="3"/>
      <c r="D116" s="3" t="s">
        <v>304</v>
      </c>
      <c r="E116" s="4" t="s">
        <v>305</v>
      </c>
      <c r="G116" s="4" t="s">
        <v>787</v>
      </c>
    </row>
    <row r="117" spans="1:7">
      <c r="A117" s="3"/>
      <c r="B117" s="3"/>
      <c r="D117" s="3" t="s">
        <v>307</v>
      </c>
      <c r="E117" s="4" t="s">
        <v>308</v>
      </c>
    </row>
    <row r="118" spans="1:7">
      <c r="A118" s="3"/>
      <c r="B118" s="3"/>
      <c r="D118" s="3"/>
      <c r="E118" s="3" t="s">
        <v>309</v>
      </c>
      <c r="F118" s="4" t="s">
        <v>310</v>
      </c>
      <c r="G118" s="4" t="s">
        <v>788</v>
      </c>
    </row>
    <row r="119" spans="1:7">
      <c r="A119" s="3"/>
      <c r="B119" s="3"/>
      <c r="D119" s="3"/>
      <c r="E119" s="3" t="s">
        <v>312</v>
      </c>
      <c r="F119" s="4" t="s">
        <v>313</v>
      </c>
      <c r="G119" s="4" t="s">
        <v>789</v>
      </c>
    </row>
    <row r="120" spans="1:7">
      <c r="A120" s="3"/>
      <c r="B120" s="3"/>
      <c r="D120" s="3"/>
      <c r="E120" s="3" t="s">
        <v>315</v>
      </c>
      <c r="F120" s="4" t="s">
        <v>316</v>
      </c>
      <c r="G120" s="4" t="s">
        <v>790</v>
      </c>
    </row>
    <row r="121" spans="1:7">
      <c r="A121" s="3"/>
      <c r="B121" s="3"/>
      <c r="D121" s="3" t="s">
        <v>318</v>
      </c>
      <c r="E121" s="4" t="s">
        <v>319</v>
      </c>
      <c r="G121" s="4" t="s">
        <v>791</v>
      </c>
    </row>
    <row r="122" spans="1:7">
      <c r="A122" s="3"/>
      <c r="B122" s="3"/>
      <c r="D122" s="3" t="s">
        <v>321</v>
      </c>
      <c r="E122" s="4" t="s">
        <v>322</v>
      </c>
      <c r="G122" s="4" t="s">
        <v>323</v>
      </c>
    </row>
    <row r="123" spans="1:7">
      <c r="A123" s="3"/>
      <c r="B123" s="3"/>
      <c r="D123" s="3" t="s">
        <v>324</v>
      </c>
      <c r="E123" s="4" t="s">
        <v>325</v>
      </c>
      <c r="G123" s="4" t="s">
        <v>792</v>
      </c>
    </row>
    <row r="124" spans="1:7">
      <c r="A124" s="3"/>
      <c r="B124" s="3"/>
      <c r="D124" s="3" t="s">
        <v>327</v>
      </c>
      <c r="E124" s="4" t="s">
        <v>328</v>
      </c>
      <c r="G124" s="4" t="s">
        <v>793</v>
      </c>
    </row>
    <row r="125" spans="1:7">
      <c r="A125" s="3"/>
      <c r="B125" s="3"/>
      <c r="D125" s="3" t="s">
        <v>330</v>
      </c>
      <c r="E125" s="4" t="s">
        <v>331</v>
      </c>
      <c r="G125" s="4" t="s">
        <v>794</v>
      </c>
    </row>
    <row r="126" spans="1:7">
      <c r="A126" s="3"/>
      <c r="B126" s="3"/>
      <c r="C126" s="4" t="s">
        <v>333</v>
      </c>
      <c r="D126" s="5" t="s">
        <v>334</v>
      </c>
    </row>
    <row r="127" spans="1:7">
      <c r="A127" s="3"/>
      <c r="B127" s="3"/>
      <c r="D127" s="3" t="s">
        <v>336</v>
      </c>
      <c r="E127" s="5" t="s">
        <v>337</v>
      </c>
      <c r="G127" s="4" t="s">
        <v>795</v>
      </c>
    </row>
    <row r="128" spans="1:7">
      <c r="A128" s="3"/>
      <c r="B128" s="3"/>
      <c r="D128" s="3" t="s">
        <v>339</v>
      </c>
      <c r="E128" s="4" t="s">
        <v>340</v>
      </c>
      <c r="G128" s="4" t="s">
        <v>796</v>
      </c>
    </row>
    <row r="129" spans="1:7">
      <c r="A129" s="3"/>
      <c r="B129" s="3">
        <v>2.4</v>
      </c>
      <c r="C129" s="4" t="s">
        <v>342</v>
      </c>
      <c r="D129" s="3"/>
    </row>
    <row r="130" spans="1:7">
      <c r="A130" s="3"/>
      <c r="B130" s="3"/>
      <c r="C130" s="4" t="s">
        <v>343</v>
      </c>
      <c r="D130" s="4" t="s">
        <v>342</v>
      </c>
    </row>
    <row r="131" spans="1:7">
      <c r="A131" s="3"/>
      <c r="B131" s="3"/>
      <c r="C131" s="4"/>
      <c r="D131" s="4" t="s">
        <v>344</v>
      </c>
      <c r="E131" s="4" t="s">
        <v>345</v>
      </c>
      <c r="G131" s="4" t="s">
        <v>346</v>
      </c>
    </row>
    <row r="132" spans="1:7">
      <c r="A132" s="3"/>
      <c r="B132" s="3"/>
      <c r="C132" s="4"/>
      <c r="D132" s="4" t="s">
        <v>347</v>
      </c>
      <c r="E132" s="4" t="s">
        <v>348</v>
      </c>
      <c r="G132" s="4" t="s">
        <v>797</v>
      </c>
    </row>
    <row r="133" spans="1:7">
      <c r="A133" s="3"/>
      <c r="B133" s="3"/>
      <c r="C133" s="4"/>
      <c r="D133" s="4" t="s">
        <v>350</v>
      </c>
      <c r="E133" s="4" t="s">
        <v>351</v>
      </c>
      <c r="G133" s="4" t="s">
        <v>798</v>
      </c>
    </row>
    <row r="134" spans="1:7">
      <c r="A134" s="3"/>
      <c r="B134" s="3"/>
      <c r="C134" s="4"/>
      <c r="D134" s="4" t="s">
        <v>353</v>
      </c>
      <c r="E134" s="4" t="s">
        <v>354</v>
      </c>
      <c r="G134" s="4" t="s">
        <v>355</v>
      </c>
    </row>
    <row r="135" spans="1:7">
      <c r="A135" s="3"/>
      <c r="B135" s="3"/>
      <c r="C135" s="4" t="s">
        <v>356</v>
      </c>
      <c r="D135" s="5" t="s">
        <v>357</v>
      </c>
    </row>
    <row r="136" spans="1:7">
      <c r="A136" s="3"/>
      <c r="B136" s="3"/>
      <c r="C136" s="4"/>
      <c r="D136" s="3" t="s">
        <v>358</v>
      </c>
      <c r="E136" s="4" t="s">
        <v>359</v>
      </c>
    </row>
    <row r="137" spans="1:7">
      <c r="A137" s="3"/>
      <c r="B137" s="3"/>
      <c r="C137" s="4"/>
      <c r="D137" s="3"/>
      <c r="E137" s="3" t="s">
        <v>360</v>
      </c>
      <c r="F137" s="4" t="s">
        <v>361</v>
      </c>
      <c r="G137" s="4" t="s">
        <v>355</v>
      </c>
    </row>
    <row r="138" spans="1:7">
      <c r="A138" s="3"/>
      <c r="B138" s="3"/>
      <c r="C138" s="4"/>
      <c r="D138" s="3"/>
      <c r="E138" s="3" t="s">
        <v>363</v>
      </c>
      <c r="F138" s="4" t="s">
        <v>364</v>
      </c>
      <c r="G138" s="4" t="s">
        <v>799</v>
      </c>
    </row>
    <row r="139" spans="1:7">
      <c r="A139" s="3"/>
      <c r="B139" s="3"/>
      <c r="C139" s="4"/>
      <c r="D139" s="3"/>
      <c r="E139" s="3" t="s">
        <v>366</v>
      </c>
      <c r="F139" s="4" t="s">
        <v>367</v>
      </c>
      <c r="G139" s="4" t="s">
        <v>800</v>
      </c>
    </row>
    <row r="140" spans="1:7">
      <c r="A140" s="3"/>
      <c r="B140" s="3"/>
      <c r="C140" s="4"/>
      <c r="D140" s="3" t="s">
        <v>369</v>
      </c>
      <c r="E140" s="4" t="s">
        <v>370</v>
      </c>
    </row>
    <row r="141" spans="1:7">
      <c r="A141" s="3"/>
      <c r="B141" s="3"/>
      <c r="C141" s="4"/>
      <c r="D141" s="5"/>
      <c r="E141" s="3" t="s">
        <v>371</v>
      </c>
      <c r="F141" s="4" t="s">
        <v>372</v>
      </c>
      <c r="G141" s="4" t="s">
        <v>801</v>
      </c>
    </row>
    <row r="142" spans="1:7">
      <c r="A142" s="3"/>
      <c r="B142" s="3"/>
      <c r="C142" s="4"/>
      <c r="D142" s="5"/>
      <c r="E142" s="3" t="s">
        <v>374</v>
      </c>
      <c r="F142" s="4" t="s">
        <v>375</v>
      </c>
      <c r="G142" s="4" t="s">
        <v>376</v>
      </c>
    </row>
    <row r="143" spans="1:7">
      <c r="A143" s="3"/>
      <c r="B143" s="3"/>
      <c r="C143" s="4"/>
      <c r="D143" s="5"/>
      <c r="E143" s="3" t="s">
        <v>377</v>
      </c>
      <c r="F143" s="4" t="s">
        <v>378</v>
      </c>
      <c r="G143" s="4" t="s">
        <v>802</v>
      </c>
    </row>
    <row r="144" spans="1:7">
      <c r="A144" s="3"/>
      <c r="B144" s="3"/>
      <c r="C144" s="4"/>
      <c r="D144" s="5"/>
      <c r="E144" s="3" t="s">
        <v>380</v>
      </c>
      <c r="F144" s="4" t="s">
        <v>381</v>
      </c>
      <c r="G144" s="4" t="s">
        <v>803</v>
      </c>
    </row>
    <row r="145" spans="1:7">
      <c r="A145" s="3"/>
      <c r="B145" s="3"/>
      <c r="C145" s="4" t="s">
        <v>383</v>
      </c>
      <c r="D145" s="5" t="s">
        <v>384</v>
      </c>
    </row>
    <row r="146" spans="1:7">
      <c r="A146" s="3"/>
      <c r="B146" s="3"/>
      <c r="C146" s="4"/>
      <c r="D146" s="3" t="s">
        <v>385</v>
      </c>
      <c r="E146" s="4" t="s">
        <v>386</v>
      </c>
      <c r="G146" s="4" t="s">
        <v>804</v>
      </c>
    </row>
    <row r="147" spans="1:7">
      <c r="A147" s="3"/>
      <c r="B147" s="3"/>
      <c r="C147" s="4"/>
      <c r="D147" s="3" t="s">
        <v>388</v>
      </c>
      <c r="E147" s="4" t="s">
        <v>389</v>
      </c>
      <c r="G147" s="4" t="s">
        <v>805</v>
      </c>
    </row>
    <row r="148" spans="1:7">
      <c r="A148" s="3"/>
      <c r="B148" s="3"/>
      <c r="C148" s="4"/>
      <c r="D148" s="3" t="s">
        <v>391</v>
      </c>
      <c r="E148" s="4" t="s">
        <v>392</v>
      </c>
      <c r="G148" s="4" t="s">
        <v>806</v>
      </c>
    </row>
    <row r="149" spans="1:7">
      <c r="A149" s="3"/>
      <c r="B149" s="3"/>
      <c r="C149" s="4" t="s">
        <v>394</v>
      </c>
      <c r="D149" s="5" t="s">
        <v>395</v>
      </c>
    </row>
    <row r="150" spans="1:7">
      <c r="A150" s="3"/>
      <c r="B150" s="3"/>
      <c r="C150" s="4"/>
      <c r="D150" s="3" t="s">
        <v>397</v>
      </c>
      <c r="E150" s="4" t="s">
        <v>398</v>
      </c>
    </row>
    <row r="151" spans="1:7">
      <c r="A151" s="3"/>
      <c r="B151" s="3"/>
      <c r="C151" s="4"/>
      <c r="D151" s="3"/>
      <c r="E151" s="3" t="s">
        <v>399</v>
      </c>
      <c r="F151" s="4" t="s">
        <v>400</v>
      </c>
      <c r="G151" s="4" t="s">
        <v>807</v>
      </c>
    </row>
    <row r="152" spans="1:7">
      <c r="A152" s="3"/>
      <c r="B152" s="3"/>
      <c r="C152" s="4"/>
      <c r="D152" s="3"/>
      <c r="E152" s="3" t="s">
        <v>402</v>
      </c>
      <c r="F152" s="4" t="s">
        <v>403</v>
      </c>
      <c r="G152" s="4" t="s">
        <v>808</v>
      </c>
    </row>
    <row r="153" spans="1:7">
      <c r="A153" s="3"/>
      <c r="B153" s="3"/>
      <c r="C153" s="4"/>
      <c r="D153" s="3"/>
      <c r="E153" s="3" t="s">
        <v>405</v>
      </c>
      <c r="F153" s="4" t="s">
        <v>406</v>
      </c>
      <c r="G153" s="4" t="s">
        <v>809</v>
      </c>
    </row>
    <row r="154" spans="1:7">
      <c r="A154" s="3"/>
      <c r="B154" s="3"/>
      <c r="C154" s="4"/>
      <c r="D154" s="3" t="s">
        <v>408</v>
      </c>
      <c r="E154" s="4" t="s">
        <v>409</v>
      </c>
      <c r="G154" s="4" t="s">
        <v>810</v>
      </c>
    </row>
    <row r="155" spans="1:7">
      <c r="A155" s="3"/>
      <c r="B155" s="3"/>
      <c r="C155" s="4"/>
      <c r="D155" s="3" t="s">
        <v>411</v>
      </c>
      <c r="E155" s="4" t="s">
        <v>412</v>
      </c>
      <c r="G155" s="4" t="s">
        <v>811</v>
      </c>
    </row>
    <row r="156" spans="1:7">
      <c r="A156" s="3"/>
      <c r="B156" s="3"/>
      <c r="C156" s="4"/>
      <c r="D156" s="3" t="s">
        <v>414</v>
      </c>
      <c r="E156" s="4" t="s">
        <v>415</v>
      </c>
      <c r="G156" s="4" t="s">
        <v>812</v>
      </c>
    </row>
    <row r="157" spans="1:7">
      <c r="A157" s="3"/>
      <c r="B157" s="3"/>
      <c r="C157" s="4"/>
      <c r="D157" s="3" t="s">
        <v>417</v>
      </c>
      <c r="E157" s="4" t="s">
        <v>418</v>
      </c>
      <c r="G157" s="4" t="s">
        <v>813</v>
      </c>
    </row>
    <row r="158" spans="1:7">
      <c r="A158" s="3"/>
      <c r="B158" s="3"/>
      <c r="C158" s="4"/>
      <c r="D158" s="3" t="s">
        <v>420</v>
      </c>
      <c r="E158" s="4" t="s">
        <v>421</v>
      </c>
      <c r="G158" s="4" t="s">
        <v>814</v>
      </c>
    </row>
    <row r="159" spans="1:7">
      <c r="A159" s="3"/>
      <c r="B159" s="3"/>
      <c r="C159" s="4" t="s">
        <v>423</v>
      </c>
      <c r="D159" s="5" t="s">
        <v>424</v>
      </c>
    </row>
    <row r="160" spans="1:7">
      <c r="A160" s="3"/>
      <c r="B160" s="3"/>
      <c r="C160" s="4"/>
      <c r="D160" s="3" t="s">
        <v>426</v>
      </c>
      <c r="E160" s="4" t="s">
        <v>427</v>
      </c>
      <c r="G160" s="4" t="s">
        <v>814</v>
      </c>
    </row>
    <row r="161" spans="1:7">
      <c r="A161" s="3"/>
      <c r="B161" s="3"/>
      <c r="C161" s="4" t="s">
        <v>429</v>
      </c>
      <c r="D161" s="5" t="s">
        <v>430</v>
      </c>
    </row>
    <row r="162" spans="1:7">
      <c r="A162" s="3"/>
      <c r="B162" s="3"/>
      <c r="D162" s="5" t="s">
        <v>432</v>
      </c>
      <c r="E162" s="4" t="s">
        <v>433</v>
      </c>
    </row>
    <row r="163" spans="1:7">
      <c r="A163" s="3"/>
      <c r="B163" s="3"/>
      <c r="D163" s="3"/>
      <c r="E163" s="3" t="s">
        <v>434</v>
      </c>
      <c r="F163" s="4" t="s">
        <v>435</v>
      </c>
      <c r="G163" s="4" t="s">
        <v>815</v>
      </c>
    </row>
    <row r="164" spans="1:7">
      <c r="A164" s="3"/>
      <c r="B164" s="3"/>
      <c r="D164" s="3"/>
      <c r="E164" s="3" t="s">
        <v>437</v>
      </c>
      <c r="F164" s="4" t="s">
        <v>438</v>
      </c>
      <c r="G164" s="4" t="s">
        <v>815</v>
      </c>
    </row>
    <row r="165" spans="1:7">
      <c r="A165" s="3"/>
      <c r="B165" s="3"/>
      <c r="D165" s="3"/>
      <c r="E165" s="3" t="s">
        <v>440</v>
      </c>
      <c r="F165" s="4" t="s">
        <v>441</v>
      </c>
      <c r="G165" s="4" t="s">
        <v>816</v>
      </c>
    </row>
    <row r="166" spans="1:7">
      <c r="A166" s="3"/>
      <c r="B166" s="3"/>
      <c r="D166" s="3"/>
      <c r="E166" s="3" t="s">
        <v>443</v>
      </c>
      <c r="F166" s="4" t="s">
        <v>444</v>
      </c>
      <c r="G166" s="4" t="s">
        <v>817</v>
      </c>
    </row>
    <row r="167" spans="1:7">
      <c r="A167" s="3"/>
      <c r="B167" s="3"/>
      <c r="D167" s="3"/>
      <c r="E167" s="3" t="s">
        <v>446</v>
      </c>
      <c r="F167" s="4" t="s">
        <v>447</v>
      </c>
      <c r="G167" s="4" t="s">
        <v>818</v>
      </c>
    </row>
    <row r="168" spans="1:7">
      <c r="A168" s="3"/>
      <c r="B168" s="3">
        <v>2.5</v>
      </c>
      <c r="C168" s="4" t="s">
        <v>449</v>
      </c>
    </row>
    <row r="169" spans="1:7">
      <c r="A169" s="3"/>
      <c r="B169" s="3"/>
      <c r="C169" s="3" t="s">
        <v>450</v>
      </c>
      <c r="D169" s="4" t="s">
        <v>451</v>
      </c>
    </row>
    <row r="170" spans="1:7">
      <c r="A170" s="3"/>
      <c r="B170" s="3"/>
      <c r="D170" s="3" t="s">
        <v>452</v>
      </c>
      <c r="E170" s="5" t="s">
        <v>453</v>
      </c>
      <c r="G170" s="4" t="s">
        <v>819</v>
      </c>
    </row>
    <row r="171" spans="1:7">
      <c r="A171" s="3"/>
      <c r="B171" s="3"/>
      <c r="C171" s="3" t="s">
        <v>455</v>
      </c>
      <c r="D171" s="5" t="s">
        <v>456</v>
      </c>
    </row>
    <row r="172" spans="1:7">
      <c r="A172" s="3"/>
      <c r="B172" s="3"/>
      <c r="D172" s="3" t="s">
        <v>457</v>
      </c>
      <c r="E172" s="5" t="s">
        <v>458</v>
      </c>
      <c r="G172" s="4" t="s">
        <v>820</v>
      </c>
    </row>
    <row r="173" spans="1:7">
      <c r="A173" s="3"/>
      <c r="B173" s="3"/>
      <c r="C173" s="3" t="s">
        <v>460</v>
      </c>
      <c r="D173" s="5" t="s">
        <v>461</v>
      </c>
    </row>
    <row r="174" spans="1:7">
      <c r="A174" s="3"/>
      <c r="B174" s="3"/>
      <c r="D174" s="3" t="s">
        <v>462</v>
      </c>
      <c r="E174" s="4" t="s">
        <v>463</v>
      </c>
      <c r="G174" s="4" t="s">
        <v>821</v>
      </c>
    </row>
    <row r="175" spans="1:7">
      <c r="A175" s="3"/>
      <c r="B175" s="3">
        <v>2.6</v>
      </c>
      <c r="C175" s="4" t="s">
        <v>465</v>
      </c>
      <c r="D175" s="3"/>
    </row>
    <row r="176" spans="1:7">
      <c r="A176" s="3"/>
      <c r="B176" s="3"/>
      <c r="C176" s="3" t="s">
        <v>466</v>
      </c>
      <c r="D176" s="4" t="s">
        <v>467</v>
      </c>
      <c r="G176" s="4" t="s">
        <v>822</v>
      </c>
    </row>
    <row r="177" spans="1:7">
      <c r="A177" s="3"/>
      <c r="B177" s="3">
        <v>2.7</v>
      </c>
      <c r="C177" s="4" t="s">
        <v>469</v>
      </c>
      <c r="D177" s="3"/>
    </row>
    <row r="178" spans="1:7">
      <c r="A178" s="3"/>
      <c r="B178" s="3"/>
      <c r="C178" s="4" t="s">
        <v>470</v>
      </c>
      <c r="D178" s="5" t="s">
        <v>471</v>
      </c>
    </row>
    <row r="179" spans="1:7">
      <c r="A179" s="3"/>
      <c r="B179" s="3"/>
      <c r="D179" s="3" t="s">
        <v>473</v>
      </c>
      <c r="E179" s="4" t="s">
        <v>474</v>
      </c>
      <c r="G179" s="4" t="s">
        <v>823</v>
      </c>
    </row>
    <row r="180" spans="1:7">
      <c r="A180" s="3"/>
      <c r="B180" s="3"/>
      <c r="C180" s="4" t="s">
        <v>476</v>
      </c>
      <c r="D180" s="5" t="s">
        <v>477</v>
      </c>
    </row>
    <row r="181" spans="1:7">
      <c r="A181" s="3"/>
      <c r="B181" s="3"/>
      <c r="D181" s="3" t="s">
        <v>479</v>
      </c>
      <c r="E181" s="4" t="s">
        <v>480</v>
      </c>
      <c r="G181" s="4" t="s">
        <v>824</v>
      </c>
    </row>
    <row r="182" spans="1:7">
      <c r="A182" s="3"/>
      <c r="B182" s="3"/>
      <c r="C182" s="4" t="s">
        <v>482</v>
      </c>
      <c r="D182" s="5" t="s">
        <v>483</v>
      </c>
    </row>
    <row r="183" spans="1:7">
      <c r="A183" s="3"/>
      <c r="B183" s="3"/>
      <c r="D183" s="4" t="s">
        <v>485</v>
      </c>
      <c r="E183" s="4" t="s">
        <v>486</v>
      </c>
      <c r="G183" s="4" t="s">
        <v>825</v>
      </c>
    </row>
    <row r="184" spans="1:7">
      <c r="A184" s="3"/>
      <c r="B184" s="3"/>
      <c r="C184" s="4" t="s">
        <v>488</v>
      </c>
      <c r="D184" s="5" t="s">
        <v>489</v>
      </c>
    </row>
    <row r="185" spans="1:7">
      <c r="A185" s="3"/>
      <c r="B185" s="3"/>
      <c r="D185" s="3" t="s">
        <v>491</v>
      </c>
      <c r="E185" s="4" t="s">
        <v>492</v>
      </c>
      <c r="G185" s="4" t="s">
        <v>826</v>
      </c>
    </row>
    <row r="186" spans="1:7">
      <c r="A186" s="3"/>
      <c r="B186" s="3"/>
      <c r="D186" s="3" t="s">
        <v>494</v>
      </c>
      <c r="E186" s="4" t="s">
        <v>495</v>
      </c>
      <c r="G186" s="4" t="s">
        <v>827</v>
      </c>
    </row>
    <row r="187" spans="1:7">
      <c r="A187" s="3"/>
      <c r="B187" s="3"/>
      <c r="D187" s="3" t="s">
        <v>497</v>
      </c>
      <c r="E187" s="5" t="s">
        <v>498</v>
      </c>
      <c r="G187" s="4" t="s">
        <v>828</v>
      </c>
    </row>
    <row r="188" spans="1:7">
      <c r="A188" s="3"/>
      <c r="B188" s="3"/>
      <c r="D188" s="3" t="s">
        <v>500</v>
      </c>
      <c r="E188" s="5" t="s">
        <v>501</v>
      </c>
      <c r="G188" s="4" t="s">
        <v>829</v>
      </c>
    </row>
    <row r="189" spans="1:7">
      <c r="A189" s="3"/>
      <c r="B189" s="3"/>
      <c r="D189" s="9" t="s">
        <v>503</v>
      </c>
      <c r="E189" s="7" t="s">
        <v>504</v>
      </c>
      <c r="F189" s="6"/>
      <c r="G189" s="4" t="s">
        <v>830</v>
      </c>
    </row>
    <row r="190" spans="1:7">
      <c r="A190" s="3"/>
      <c r="B190" s="3"/>
      <c r="D190" s="3" t="s">
        <v>506</v>
      </c>
      <c r="E190" s="5" t="s">
        <v>507</v>
      </c>
      <c r="G190" s="4" t="s">
        <v>831</v>
      </c>
    </row>
    <row r="191" spans="1:7">
      <c r="A191" s="3"/>
      <c r="B191" s="3"/>
      <c r="D191" s="3"/>
      <c r="E191" s="3" t="s">
        <v>509</v>
      </c>
      <c r="F191" s="4" t="s">
        <v>510</v>
      </c>
      <c r="G191" s="4" t="s">
        <v>832</v>
      </c>
    </row>
    <row r="192" spans="1:7">
      <c r="A192" s="3"/>
      <c r="B192" s="3"/>
      <c r="D192" s="3" t="s">
        <v>512</v>
      </c>
      <c r="E192" s="5" t="s">
        <v>513</v>
      </c>
      <c r="G192" s="4" t="s">
        <v>833</v>
      </c>
    </row>
    <row r="193" spans="1:7">
      <c r="A193" s="3"/>
      <c r="B193" s="3"/>
      <c r="D193" s="3" t="s">
        <v>515</v>
      </c>
      <c r="E193" s="5" t="s">
        <v>516</v>
      </c>
      <c r="G193" s="4" t="s">
        <v>834</v>
      </c>
    </row>
    <row r="194" spans="1:7">
      <c r="A194" s="3"/>
      <c r="B194" s="3"/>
      <c r="D194" s="3" t="s">
        <v>519</v>
      </c>
      <c r="E194" s="5" t="s">
        <v>520</v>
      </c>
      <c r="G194" s="4" t="s">
        <v>835</v>
      </c>
    </row>
    <row r="195" spans="1:7">
      <c r="A195" s="3">
        <v>3</v>
      </c>
      <c r="B195" s="5" t="s">
        <v>521</v>
      </c>
      <c r="D195" s="3"/>
    </row>
    <row r="196" spans="1:7">
      <c r="A196" s="3"/>
      <c r="B196" s="3">
        <v>3.1</v>
      </c>
      <c r="C196" s="4" t="s">
        <v>522</v>
      </c>
      <c r="D196" s="3"/>
    </row>
    <row r="197" spans="1:7">
      <c r="A197" s="3"/>
      <c r="B197" s="3"/>
      <c r="C197" s="4" t="s">
        <v>524</v>
      </c>
      <c r="D197" s="5" t="s">
        <v>525</v>
      </c>
      <c r="G197" s="4" t="s">
        <v>836</v>
      </c>
    </row>
    <row r="198" spans="1:7">
      <c r="A198" s="3"/>
      <c r="B198" s="3"/>
      <c r="C198" s="4" t="s">
        <v>527</v>
      </c>
      <c r="D198" s="5" t="s">
        <v>528</v>
      </c>
      <c r="G198" s="4" t="s">
        <v>837</v>
      </c>
    </row>
    <row r="199" spans="1:7">
      <c r="A199" s="3"/>
      <c r="B199" s="3"/>
      <c r="C199" s="4" t="s">
        <v>530</v>
      </c>
      <c r="D199" s="5" t="s">
        <v>531</v>
      </c>
      <c r="G199" s="4" t="s">
        <v>838</v>
      </c>
    </row>
    <row r="200" spans="1:7">
      <c r="A200" s="3"/>
      <c r="B200" s="3"/>
      <c r="C200" s="4" t="s">
        <v>533</v>
      </c>
      <c r="D200" s="5" t="s">
        <v>534</v>
      </c>
      <c r="G200" s="4" t="s">
        <v>535</v>
      </c>
    </row>
    <row r="201" spans="1:7">
      <c r="A201" s="3"/>
      <c r="B201" s="3"/>
      <c r="D201" s="4" t="s">
        <v>536</v>
      </c>
      <c r="E201" s="4" t="s">
        <v>537</v>
      </c>
      <c r="G201" s="4" t="s">
        <v>839</v>
      </c>
    </row>
    <row r="202" spans="1:7">
      <c r="A202" s="3"/>
      <c r="B202" s="3"/>
      <c r="D202" s="4" t="s">
        <v>539</v>
      </c>
      <c r="E202" s="4" t="s">
        <v>540</v>
      </c>
      <c r="G202" s="4" t="s">
        <v>840</v>
      </c>
    </row>
    <row r="203" spans="1:7">
      <c r="A203" s="3"/>
      <c r="B203" s="3"/>
      <c r="D203" s="4" t="s">
        <v>542</v>
      </c>
      <c r="E203" s="4" t="s">
        <v>543</v>
      </c>
      <c r="G203" s="4" t="s">
        <v>841</v>
      </c>
    </row>
    <row r="204" spans="1:7">
      <c r="A204" s="3"/>
      <c r="B204" s="3"/>
      <c r="D204" s="4" t="s">
        <v>545</v>
      </c>
      <c r="E204" s="4" t="s">
        <v>546</v>
      </c>
      <c r="G204" s="4" t="s">
        <v>842</v>
      </c>
    </row>
    <row r="205" spans="1:7">
      <c r="A205" s="3"/>
      <c r="B205" s="3"/>
      <c r="D205" s="4" t="s">
        <v>548</v>
      </c>
      <c r="E205" s="4" t="s">
        <v>549</v>
      </c>
      <c r="G205" s="4" t="s">
        <v>843</v>
      </c>
    </row>
    <row r="206" spans="1:7">
      <c r="A206" s="3"/>
      <c r="B206" s="3"/>
      <c r="C206" s="4" t="s">
        <v>551</v>
      </c>
      <c r="D206" s="5" t="s">
        <v>552</v>
      </c>
    </row>
    <row r="207" spans="1:7">
      <c r="A207" s="3"/>
      <c r="B207" s="3"/>
      <c r="D207" s="4" t="s">
        <v>554</v>
      </c>
      <c r="E207" s="4" t="s">
        <v>555</v>
      </c>
      <c r="G207" s="4" t="s">
        <v>844</v>
      </c>
    </row>
    <row r="208" spans="1:7">
      <c r="A208" s="3"/>
      <c r="B208" s="3"/>
      <c r="D208" s="4" t="s">
        <v>557</v>
      </c>
      <c r="E208" s="4" t="s">
        <v>558</v>
      </c>
      <c r="G208" s="4" t="s">
        <v>845</v>
      </c>
    </row>
    <row r="209" spans="1:7">
      <c r="A209" s="3"/>
      <c r="B209" s="3"/>
      <c r="C209" s="4" t="s">
        <v>560</v>
      </c>
      <c r="D209" s="5" t="s">
        <v>561</v>
      </c>
    </row>
    <row r="210" spans="1:7">
      <c r="A210" s="3"/>
      <c r="B210" s="3"/>
      <c r="D210" s="4" t="s">
        <v>563</v>
      </c>
      <c r="E210" s="4" t="s">
        <v>564</v>
      </c>
      <c r="G210" s="4" t="s">
        <v>846</v>
      </c>
    </row>
    <row r="211" spans="1:7">
      <c r="A211" s="3"/>
      <c r="B211" s="3"/>
      <c r="D211" s="4" t="s">
        <v>566</v>
      </c>
      <c r="E211" s="4" t="s">
        <v>567</v>
      </c>
      <c r="G211" s="4" t="s">
        <v>568</v>
      </c>
    </row>
    <row r="212" spans="1:7">
      <c r="A212" s="3"/>
      <c r="B212" s="3"/>
      <c r="D212" s="4" t="s">
        <v>569</v>
      </c>
      <c r="E212" s="4" t="s">
        <v>570</v>
      </c>
      <c r="G212" s="4" t="s">
        <v>847</v>
      </c>
    </row>
    <row r="213" spans="1:7">
      <c r="A213" s="3"/>
      <c r="B213" s="3"/>
      <c r="D213" s="4" t="s">
        <v>572</v>
      </c>
      <c r="E213" s="4" t="s">
        <v>573</v>
      </c>
      <c r="G213" s="4" t="s">
        <v>848</v>
      </c>
    </row>
    <row r="214" spans="1:7">
      <c r="A214" s="3"/>
      <c r="B214" s="3"/>
      <c r="D214" s="4" t="s">
        <v>575</v>
      </c>
      <c r="E214" s="4" t="s">
        <v>576</v>
      </c>
      <c r="G214" s="4" t="s">
        <v>849</v>
      </c>
    </row>
    <row r="215" spans="1:7">
      <c r="A215" s="3"/>
      <c r="B215" s="3">
        <v>3.2</v>
      </c>
      <c r="C215" s="4" t="s">
        <v>578</v>
      </c>
      <c r="D215" s="3"/>
    </row>
    <row r="216" spans="1:7">
      <c r="A216" s="3"/>
      <c r="B216" s="3"/>
      <c r="C216" s="3" t="s">
        <v>580</v>
      </c>
      <c r="D216" s="5" t="s">
        <v>581</v>
      </c>
      <c r="G216" s="4" t="s">
        <v>850</v>
      </c>
    </row>
    <row r="217" spans="1:7">
      <c r="A217" s="3"/>
      <c r="B217" s="3"/>
      <c r="C217" s="3" t="s">
        <v>583</v>
      </c>
      <c r="D217" s="5" t="s">
        <v>584</v>
      </c>
      <c r="G217" s="4" t="s">
        <v>851</v>
      </c>
    </row>
    <row r="218" spans="1:7">
      <c r="A218" s="3"/>
      <c r="B218" s="3"/>
      <c r="C218" s="3" t="s">
        <v>586</v>
      </c>
      <c r="D218" s="5" t="s">
        <v>587</v>
      </c>
      <c r="G218" s="4" t="s">
        <v>852</v>
      </c>
    </row>
    <row r="219" spans="1:7">
      <c r="A219" s="3"/>
      <c r="B219" s="3"/>
      <c r="C219" s="3" t="s">
        <v>589</v>
      </c>
      <c r="D219" s="4" t="s">
        <v>590</v>
      </c>
      <c r="G219" s="4" t="s">
        <v>853</v>
      </c>
    </row>
    <row r="220" spans="1:7">
      <c r="A220" s="3"/>
      <c r="B220" s="3"/>
      <c r="C220" s="3" t="s">
        <v>592</v>
      </c>
      <c r="D220" s="5" t="s">
        <v>593</v>
      </c>
      <c r="G220" s="4" t="s">
        <v>854</v>
      </c>
    </row>
    <row r="221" spans="1:7">
      <c r="A221" s="3"/>
      <c r="B221" s="3"/>
      <c r="C221" s="3" t="s">
        <v>595</v>
      </c>
      <c r="D221" s="5" t="s">
        <v>596</v>
      </c>
      <c r="G221" s="4" t="s">
        <v>855</v>
      </c>
    </row>
    <row r="222" spans="1:7">
      <c r="A222" s="3"/>
      <c r="B222" s="3"/>
      <c r="C222" s="3" t="s">
        <v>598</v>
      </c>
      <c r="D222" s="5" t="s">
        <v>599</v>
      </c>
      <c r="G222" s="4" t="s">
        <v>856</v>
      </c>
    </row>
    <row r="223" spans="1:7">
      <c r="A223" s="3"/>
      <c r="B223" s="3"/>
      <c r="D223" s="3" t="s">
        <v>601</v>
      </c>
      <c r="E223" s="4" t="s">
        <v>602</v>
      </c>
      <c r="G223" s="4" t="s">
        <v>603</v>
      </c>
    </row>
    <row r="224" spans="1:7">
      <c r="A224" s="3"/>
      <c r="B224" s="3"/>
      <c r="D224" s="3" t="s">
        <v>604</v>
      </c>
      <c r="E224" s="4" t="s">
        <v>605</v>
      </c>
      <c r="G224" s="4" t="s">
        <v>857</v>
      </c>
    </row>
    <row r="225" spans="1:7">
      <c r="A225" s="3"/>
      <c r="B225" s="3"/>
      <c r="D225" s="3" t="s">
        <v>607</v>
      </c>
      <c r="E225" s="4" t="s">
        <v>608</v>
      </c>
      <c r="G225" s="4" t="s">
        <v>858</v>
      </c>
    </row>
    <row r="226" spans="1:7">
      <c r="A226" s="3"/>
      <c r="B226" s="3">
        <v>3.3</v>
      </c>
      <c r="C226" s="4" t="s">
        <v>610</v>
      </c>
    </row>
    <row r="227" spans="1:7">
      <c r="A227" s="3"/>
      <c r="B227" s="3"/>
      <c r="C227" s="4" t="s">
        <v>612</v>
      </c>
      <c r="D227" s="4" t="s">
        <v>613</v>
      </c>
      <c r="G227" s="4" t="s">
        <v>614</v>
      </c>
    </row>
    <row r="228" spans="1:7">
      <c r="A228" s="3"/>
      <c r="B228" s="3"/>
      <c r="C228" s="4"/>
      <c r="D228" s="4" t="s">
        <v>615</v>
      </c>
      <c r="E228" s="4" t="s">
        <v>616</v>
      </c>
      <c r="G228" s="4" t="s">
        <v>859</v>
      </c>
    </row>
    <row r="229" spans="1:7">
      <c r="A229" s="3"/>
      <c r="B229" s="3"/>
      <c r="C229" s="4"/>
      <c r="D229" s="4" t="s">
        <v>618</v>
      </c>
      <c r="E229" s="4" t="s">
        <v>619</v>
      </c>
      <c r="G229" s="4" t="s">
        <v>860</v>
      </c>
    </row>
    <row r="230" spans="1:7">
      <c r="A230" s="3"/>
      <c r="B230" s="3"/>
      <c r="C230" s="4" t="s">
        <v>621</v>
      </c>
      <c r="D230" s="4" t="s">
        <v>622</v>
      </c>
      <c r="G230" s="4" t="s">
        <v>861</v>
      </c>
    </row>
    <row r="231" spans="1:7">
      <c r="A231" s="3"/>
      <c r="B231" s="3"/>
      <c r="C231" s="4" t="s">
        <v>624</v>
      </c>
      <c r="D231" s="4" t="s">
        <v>625</v>
      </c>
      <c r="G231" s="4" t="s">
        <v>862</v>
      </c>
    </row>
    <row r="232" spans="1:7">
      <c r="A232" s="3"/>
      <c r="B232" s="3"/>
      <c r="D232" s="4" t="s">
        <v>627</v>
      </c>
      <c r="E232" s="4" t="s">
        <v>628</v>
      </c>
    </row>
    <row r="233" spans="1:7">
      <c r="A233" s="3"/>
      <c r="B233" s="3"/>
      <c r="E233" s="3" t="s">
        <v>630</v>
      </c>
      <c r="F233" s="4" t="s">
        <v>631</v>
      </c>
      <c r="G233" s="4" t="s">
        <v>863</v>
      </c>
    </row>
    <row r="234" spans="1:7">
      <c r="A234" s="3"/>
      <c r="B234" s="3"/>
      <c r="E234" s="3" t="s">
        <v>633</v>
      </c>
      <c r="F234" s="4" t="s">
        <v>634</v>
      </c>
      <c r="G234" s="4" t="s">
        <v>864</v>
      </c>
    </row>
    <row r="235" spans="1:7">
      <c r="A235" s="3"/>
      <c r="D235" s="4" t="s">
        <v>636</v>
      </c>
      <c r="E235" s="4" t="s">
        <v>637</v>
      </c>
      <c r="G235" s="4" t="s">
        <v>865</v>
      </c>
    </row>
    <row r="236" spans="1:7">
      <c r="A236" s="3"/>
      <c r="E236" s="4" t="s">
        <v>866</v>
      </c>
      <c r="F236" s="4" t="s">
        <v>639</v>
      </c>
      <c r="G236" s="4" t="s">
        <v>867</v>
      </c>
    </row>
    <row r="237" spans="1:7">
      <c r="A237" s="3"/>
      <c r="B237" s="3">
        <v>3.4</v>
      </c>
      <c r="C237" s="4" t="s">
        <v>641</v>
      </c>
    </row>
    <row r="238" spans="1:7">
      <c r="A238" s="3"/>
      <c r="C238" s="4" t="s">
        <v>643</v>
      </c>
      <c r="D238" s="4" t="s">
        <v>644</v>
      </c>
      <c r="G238" s="4" t="s">
        <v>868</v>
      </c>
    </row>
    <row r="239" spans="1:7">
      <c r="A239" s="3"/>
      <c r="C239" s="4" t="s">
        <v>646</v>
      </c>
      <c r="D239" s="4" t="s">
        <v>647</v>
      </c>
      <c r="G239" s="4" t="s">
        <v>869</v>
      </c>
    </row>
    <row r="240" spans="1:7">
      <c r="A240" s="3"/>
      <c r="B240" s="3">
        <v>3.5</v>
      </c>
      <c r="C240" s="4" t="s">
        <v>649</v>
      </c>
    </row>
    <row r="241" spans="1:7">
      <c r="A241" s="3"/>
      <c r="C241" s="3" t="s">
        <v>651</v>
      </c>
      <c r="D241" s="4" t="s">
        <v>652</v>
      </c>
      <c r="G241" s="4" t="s">
        <v>870</v>
      </c>
    </row>
    <row r="242" spans="1:7">
      <c r="A242" s="3"/>
      <c r="C242" s="3" t="s">
        <v>654</v>
      </c>
      <c r="D242" s="5" t="s">
        <v>655</v>
      </c>
      <c r="G242" s="4" t="s">
        <v>871</v>
      </c>
    </row>
    <row r="243" spans="1:7">
      <c r="A243" s="3"/>
      <c r="C243" s="3" t="s">
        <v>658</v>
      </c>
      <c r="D243" s="5" t="s">
        <v>659</v>
      </c>
      <c r="G243" s="4" t="s">
        <v>872</v>
      </c>
    </row>
    <row r="244" spans="1:7">
      <c r="A244" s="3"/>
      <c r="D244" s="3" t="s">
        <v>661</v>
      </c>
      <c r="E244" s="4" t="s">
        <v>662</v>
      </c>
      <c r="G244" s="4" t="s">
        <v>873</v>
      </c>
    </row>
    <row r="245" spans="1:7">
      <c r="A245" s="3"/>
      <c r="D245" s="3" t="s">
        <v>664</v>
      </c>
      <c r="E245" s="4" t="s">
        <v>665</v>
      </c>
      <c r="G245" s="4" t="s">
        <v>874</v>
      </c>
    </row>
    <row r="246" spans="1:7">
      <c r="A246" s="3"/>
      <c r="D246" s="3" t="s">
        <v>666</v>
      </c>
      <c r="E246" s="4" t="s">
        <v>667</v>
      </c>
      <c r="G246" s="4" t="s">
        <v>875</v>
      </c>
    </row>
    <row r="247" spans="1:7">
      <c r="A247" s="3"/>
      <c r="D247" s="3" t="s">
        <v>669</v>
      </c>
      <c r="E247" s="4" t="s">
        <v>670</v>
      </c>
      <c r="G247" s="4" t="s">
        <v>876</v>
      </c>
    </row>
    <row r="248" spans="1:7">
      <c r="A248" s="3"/>
      <c r="B248" s="4">
        <v>3.6</v>
      </c>
      <c r="C248" s="4" t="s">
        <v>672</v>
      </c>
    </row>
    <row r="249" spans="1:7">
      <c r="A249" s="3"/>
      <c r="C249" s="4" t="s">
        <v>674</v>
      </c>
      <c r="D249" s="4" t="s">
        <v>675</v>
      </c>
    </row>
    <row r="250" spans="1:7">
      <c r="A250" s="3"/>
      <c r="D250" s="4" t="s">
        <v>677</v>
      </c>
      <c r="E250" s="4" t="s">
        <v>678</v>
      </c>
      <c r="G250" s="4" t="s">
        <v>877</v>
      </c>
    </row>
    <row r="251" spans="1:7">
      <c r="A251" s="3"/>
      <c r="D251" s="4" t="s">
        <v>680</v>
      </c>
      <c r="E251" s="4" t="s">
        <v>681</v>
      </c>
      <c r="G251" s="4" t="s">
        <v>878</v>
      </c>
    </row>
    <row r="252" spans="1:7">
      <c r="A252" s="3"/>
      <c r="C252" s="4" t="s">
        <v>683</v>
      </c>
      <c r="D252" s="4" t="s">
        <v>684</v>
      </c>
    </row>
    <row r="253" spans="1:7">
      <c r="A253" s="3"/>
      <c r="D253" s="4" t="s">
        <v>686</v>
      </c>
      <c r="E253" s="5" t="s">
        <v>687</v>
      </c>
      <c r="G253" s="4" t="s">
        <v>879</v>
      </c>
    </row>
    <row r="254" spans="1:7">
      <c r="A254" s="3"/>
      <c r="D254" s="4" t="s">
        <v>689</v>
      </c>
      <c r="E254" s="4" t="s">
        <v>690</v>
      </c>
      <c r="G254" s="4" t="s">
        <v>880</v>
      </c>
    </row>
    <row r="255" spans="1:7">
      <c r="A255" s="3"/>
      <c r="D255" s="4" t="s">
        <v>692</v>
      </c>
      <c r="E255" s="4" t="s">
        <v>693</v>
      </c>
      <c r="G255" s="4" t="s">
        <v>881</v>
      </c>
    </row>
    <row r="256" spans="1:7">
      <c r="A256" s="3"/>
      <c r="C256" s="4" t="s">
        <v>695</v>
      </c>
      <c r="D256" s="4" t="s">
        <v>696</v>
      </c>
    </row>
    <row r="257" spans="1:7">
      <c r="A257" s="3"/>
      <c r="D257" s="4" t="s">
        <v>698</v>
      </c>
      <c r="E257" s="5" t="s">
        <v>699</v>
      </c>
      <c r="G257" s="4" t="s">
        <v>882</v>
      </c>
    </row>
    <row r="258" spans="1:7">
      <c r="A258" s="3"/>
      <c r="D258" s="4" t="s">
        <v>701</v>
      </c>
      <c r="E258" s="4" t="s">
        <v>702</v>
      </c>
      <c r="G258" s="4" t="s">
        <v>883</v>
      </c>
    </row>
    <row r="259" spans="1:7">
      <c r="A259" s="3"/>
      <c r="D259" s="4" t="s">
        <v>704</v>
      </c>
      <c r="E259" s="4" t="s">
        <v>705</v>
      </c>
      <c r="G259" s="4" t="s">
        <v>884</v>
      </c>
    </row>
    <row r="260" spans="1:7">
      <c r="A260" s="3"/>
    </row>
    <row r="261" spans="1:7">
      <c r="A261" s="3"/>
    </row>
    <row r="262" spans="1:7">
      <c r="A262" s="3"/>
    </row>
    <row r="263" spans="1:7">
      <c r="A263" s="3"/>
    </row>
    <row r="264" spans="1:7">
      <c r="A264" s="3"/>
    </row>
    <row r="265" spans="1:7">
      <c r="A265" s="3"/>
    </row>
    <row r="266" spans="1:7">
      <c r="A266" s="3"/>
    </row>
    <row r="267" spans="1:7">
      <c r="A267" s="3"/>
    </row>
    <row r="268" spans="1:7">
      <c r="A268" s="3"/>
    </row>
    <row r="269" spans="1:7">
      <c r="A269" s="3"/>
    </row>
    <row r="270" spans="1:7">
      <c r="A270" s="3"/>
    </row>
    <row r="271" spans="1:7">
      <c r="A271" s="3"/>
    </row>
    <row r="272" spans="1:7">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row r="1014" spans="1:1">
      <c r="A1014" s="3"/>
    </row>
    <row r="1015" spans="1:1">
      <c r="A1015" s="3"/>
    </row>
    <row r="1016" spans="1:1">
      <c r="A1016" s="3"/>
    </row>
    <row r="1017" spans="1:1">
      <c r="A1017" s="3"/>
    </row>
    <row r="1018" spans="1:1">
      <c r="A1018" s="3"/>
    </row>
    <row r="1019" spans="1:1">
      <c r="A1019" s="3"/>
    </row>
    <row r="1020" spans="1:1">
      <c r="A1020" s="3"/>
    </row>
    <row r="1021" spans="1:1">
      <c r="A1021" s="3"/>
    </row>
    <row r="1022" spans="1:1">
      <c r="A1022" s="3"/>
    </row>
    <row r="1023" spans="1:1">
      <c r="A1023" s="3"/>
    </row>
    <row r="1024" spans="1:1">
      <c r="A1024" s="3"/>
    </row>
    <row r="1025" spans="1:1">
      <c r="A1025" s="3"/>
    </row>
    <row r="1026" spans="1:1">
      <c r="A1026" s="3"/>
    </row>
    <row r="1027" spans="1:1">
      <c r="A1027" s="3"/>
    </row>
    <row r="1028" spans="1:1">
      <c r="A1028" s="3"/>
    </row>
    <row r="1029" spans="1:1">
      <c r="A1029" s="3"/>
    </row>
    <row r="1030" spans="1:1">
      <c r="A1030" s="3"/>
    </row>
    <row r="1031" spans="1:1">
      <c r="A1031" s="3"/>
    </row>
    <row r="1032" spans="1:1">
      <c r="A1032" s="3"/>
    </row>
    <row r="1033" spans="1:1">
      <c r="A1033" s="3"/>
    </row>
    <row r="1034" spans="1:1">
      <c r="A1034" s="3"/>
    </row>
    <row r="1035" spans="1:1">
      <c r="A1035" s="3"/>
    </row>
    <row r="1036" spans="1:1">
      <c r="A1036" s="3"/>
    </row>
    <row r="1037" spans="1:1">
      <c r="A1037" s="3"/>
    </row>
    <row r="1038" spans="1:1">
      <c r="A1038" s="3"/>
    </row>
    <row r="1039" spans="1:1">
      <c r="A1039" s="3"/>
    </row>
    <row r="1040" spans="1:1">
      <c r="A1040" s="3"/>
    </row>
    <row r="1041" spans="1:1">
      <c r="A1041" s="3"/>
    </row>
    <row r="1042" spans="1:1">
      <c r="A1042" s="3"/>
    </row>
    <row r="1043" spans="1:1">
      <c r="A1043" s="3"/>
    </row>
    <row r="1044" spans="1:1">
      <c r="A1044" s="3"/>
    </row>
  </sheetData>
  <mergeCells count="1">
    <mergeCell ref="A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1DDE0A-1E98-4023-8A16-08AF26A919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master</vt:lpstr>
      <vt:lpstr>context</vt:lpstr>
      <vt:lpstr>summary</vt:lpstr>
      <vt:lpstr>Table1</vt:lpstr>
      <vt:lpstr>Table3</vt:lpstr>
      <vt:lpstr>ชุดที่ 1</vt:lpstr>
      <vt:lpstr>ชุดที่ 2</vt:lpstr>
      <vt:lpstr>ชุดที่ 3</vt:lpstr>
      <vt:lpstr>Table6</vt:lpstr>
      <vt:lpstr>ชุดที่ 4</vt:lpstr>
      <vt:lpstr>Table8</vt:lpstr>
      <vt:lpstr>ชุดที่ 5</vt:lpstr>
      <vt:lpstr>category</vt:lpstr>
      <vt:lpstr>ผู้วิจัยคนที่ 1</vt:lpstr>
      <vt:lpstr>ผู้วิจัยคนที่ 2</vt:lpstr>
      <vt:lpstr>ผู้เชี่ยวชาญคนที่ 1</vt:lpstr>
      <vt:lpstr>ผู้เชี่ยวชาญคนที่ 2</vt:lpstr>
      <vt:lpstr>ผู้เชี่ยวชาญคนที่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2026-01-17T14:19:55Z</dcterms:modified>
</cp:coreProperties>
</file>